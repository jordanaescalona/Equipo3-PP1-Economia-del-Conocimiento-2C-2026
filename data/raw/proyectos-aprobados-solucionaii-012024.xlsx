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C:\Users\Usuario\Documents\Economia del Conocimiento\Evaluación de Impacto\Datos Abiertos\Soluciona II\"/>
    </mc:Choice>
  </mc:AlternateContent>
  <xr:revisionPtr revIDLastSave="0" documentId="13_ncr:1_{8686E120-8AB6-46B2-85ED-8C0717A823BA}" xr6:coauthVersionLast="36" xr6:coauthVersionMax="36" xr10:uidLastSave="{00000000-0000-0000-0000-000000000000}"/>
  <bookViews>
    <workbookView xWindow="0" yWindow="0" windowWidth="19200" windowHeight="6930" xr2:uid="{A4D26FA5-998E-4CB4-842F-D6C32F60A800}"/>
  </bookViews>
  <sheets>
    <sheet name="dataset" sheetId="1" r:id="rId1"/>
    <sheet name="descripción de los campos" sheetId="2" r:id="rId2"/>
  </sheets>
  <definedNames>
    <definedName name="_xlnm._FilterDatabase" localSheetId="0" hidden="1">dataset!$A$1:$L$64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1" l="1"/>
  <c r="C3" i="1"/>
  <c r="C2" i="1"/>
  <c r="C38" i="1"/>
</calcChain>
</file>

<file path=xl/sharedStrings.xml><?xml version="1.0" encoding="utf-8"?>
<sst xmlns="http://schemas.openxmlformats.org/spreadsheetml/2006/main" count="411" uniqueCount="265">
  <si>
    <t>partida_presupuestaria</t>
  </si>
  <si>
    <t>beneficiario_razón_social</t>
  </si>
  <si>
    <t>beneficiario_cuit</t>
  </si>
  <si>
    <t>proyecto_nombre</t>
  </si>
  <si>
    <t>proyecto_resumen</t>
  </si>
  <si>
    <t>sector_economía_del_conocimiento</t>
  </si>
  <si>
    <t>monto_aprobado</t>
  </si>
  <si>
    <t>provincia_nombre</t>
  </si>
  <si>
    <t>provincia_id</t>
  </si>
  <si>
    <t>localidad_nombre</t>
  </si>
  <si>
    <t>localidad_id</t>
  </si>
  <si>
    <t>devp sociedad cap. i seccion iv ley 19.550</t>
  </si>
  <si>
    <t>Discar S. A.</t>
  </si>
  <si>
    <t>Selectivity S. A. S.</t>
  </si>
  <si>
    <t>Ivema Desarrollos S. R. L.</t>
  </si>
  <si>
    <t>Estrategias y Resultados S. A.</t>
  </si>
  <si>
    <t>Ubiar S. R. L.</t>
  </si>
  <si>
    <t>Aumed S. A. S.</t>
  </si>
  <si>
    <t>Itech3d</t>
  </si>
  <si>
    <t>MZP Tecnología S. A. U.</t>
  </si>
  <si>
    <t>Conuar S. A. (Combustibles Nucleares Argentinos)</t>
  </si>
  <si>
    <t>Givemove S. A. S.</t>
  </si>
  <si>
    <t>Editorial Orsai S. R. L.</t>
  </si>
  <si>
    <t>Datatech S. A.</t>
  </si>
  <si>
    <t>Doble TT Argentina S. A.</t>
  </si>
  <si>
    <t>Octamer S. R. L.</t>
  </si>
  <si>
    <t>Ceres Demeter S. R. L.</t>
  </si>
  <si>
    <t>NRS S. A.</t>
  </si>
  <si>
    <t>Auster Ingenieria S. R. L.</t>
  </si>
  <si>
    <t>Quies Mentis S. A. S.</t>
  </si>
  <si>
    <t>Ever Wear S. A.</t>
  </si>
  <si>
    <t>Mariana  S. A.</t>
  </si>
  <si>
    <t xml:space="preserve">Fabricación de instrumentos y aparatos para medir, verificar, ensayar, navegar y otros fines, excepto el equipo de control de procesos industriales.
NOMBRE DEL  PROYECTO: Sistema de telegestión de lecturas de medidores inteligentes de agua. 
</t>
  </si>
  <si>
    <t>Dispositivo de selección espermática</t>
  </si>
  <si>
    <t>IVEMA LAMP-8</t>
  </si>
  <si>
    <t xml:space="preserve">e-Mat - Desarrollo innovador de software para gestión de derivados agrícolas        </t>
  </si>
  <si>
    <t xml:space="preserve">Trazabilidad de Alimentos con Blockchain de BFA </t>
  </si>
  <si>
    <t>Avedian - Plataforma ARC</t>
  </si>
  <si>
    <t xml:space="preserve">Impresión 3D de altas prestaciones y relevamiento de geometrías complejas.
</t>
  </si>
  <si>
    <t>SMART ROUTINES</t>
  </si>
  <si>
    <t>Analizador de Coagulación VILAS</t>
  </si>
  <si>
    <t xml:space="preserve">Almacenamiento en Seco de Elementos Combustibles Gastados
</t>
  </si>
  <si>
    <t xml:space="preserve">Fabricación a escala piloto de la primera silla bipedestadora robótica para niños de Latinoamérica 
</t>
  </si>
  <si>
    <t xml:space="preserve"> Mega Tienda Orsai
</t>
  </si>
  <si>
    <t xml:space="preserve">DAI DATATECH
</t>
  </si>
  <si>
    <t xml:space="preserve">Replantación de fallas en caña de azúcar     </t>
  </si>
  <si>
    <t>Fabricación de prototipo para producción en escala de electroporador oncológico para uso en humanos, a través del tratamiento eficaz de tumores mediante electroquimioterapia</t>
  </si>
  <si>
    <t>Herramientas moleculares basadas en ADN para asistir a las cadenas de producción y comercialización de cereales de invierno</t>
  </si>
  <si>
    <t>Equipo irradiador de líquidos contaminantes mediante rayos Gamma.</t>
  </si>
  <si>
    <t>Aerogenerador Auster4500</t>
  </si>
  <si>
    <t>Investigación y desarrollo del test NEOBIOMARKERS 3BD para tratamientos neuropsiquiátricos basado en Inteligencia Artificial</t>
  </si>
  <si>
    <t>Implementación de tecnologias 4.0 en la distribución mayorista</t>
  </si>
  <si>
    <t>Desarrollo conjunto de aplicación basada en realidad aumentada e incorporación de software para diseño de moldería, nesting y tizado.</t>
  </si>
  <si>
    <t>El proyecto tiene como objetivo resolver la problemática de las empresas distribuidoras de agua (sean provinciales, cooperativas o privadas), que necesitan modernizar tecnológicamente sus métodos de medición de los consumos del agua entregada a los usuarios finales. Se ofrece una solución aplicando IoT.</t>
  </si>
  <si>
    <t xml:space="preserve">Desarrollo de un kit prototipo de selección e inseminación de semen, dando la posibilidad de realizar un procedimiento de inseminación intrauterina en cualquier consultorio médico o incluso en casa. El kit incluye un dispositivo de selección espermática y un dispositivo de inseminación intrauterina.
</t>
  </si>
  <si>
    <t>Culminar el desarrollo y producir la primera serie del equipo IVEMA LAMP-8 de lectura de fluorescencia cuantitativa de una longitud de onda para ser utilizado en el diagnóstico molecular de enfermedades veterinarias, tanto de impacto productivo como de pequeños animales.</t>
  </si>
  <si>
    <t xml:space="preserve">Ejecutar la última etapa del desarrollo de una aplicación, pudiendo así volcar al mercado un servicio AgTech con alta complejidad tecnológica y gran potencial para futuros desarrollos. 
</t>
  </si>
  <si>
    <t xml:space="preserve">Se plantea la digitalización, mejora de la producción y trazabilidad en frigoríficos mediante un conjunto de soluciones integradas (Software y hardware). La solución consta de la implementación de la Trazabilidad mediante Blockchain, ofrecer el software Advance ERP, implementar el sistema (Terminales) y agilizar la etapa de Empaque Final mediante la automatización de la misma.
</t>
  </si>
  <si>
    <t>El objetivo principal del proyecto, es democratizar el acceso a nuevos medicamentos por parte de las poblaciones, sin descuidar la sustentabilidad de los sistemas de salud. Es decir, gastar lo mismo dando acceso universal y haciendo seguimiento personalizado de las terapias, a través de la tecnología.</t>
  </si>
  <si>
    <t>Creación de un sector para el relevamiento de geometrías complejas e impresión 3D con materiales metálicos y/o de altas prestaciones técnicas. Adquirir la capacidad para relevar grandes estructuras (escaneo tridimensional), el pre-procesado de piezas en CAD y la impresión 3D en materiales metálicos y en materiales compuestos.</t>
  </si>
  <si>
    <t>Proyecto de servicio de software para la Industria, enfocado en la industria petrolera.</t>
  </si>
  <si>
    <t>El objetivo es el desarrollo de tests viscoelásticos de coagulación (test usado para guiar la terapia transfusional) que permitiría el ahorro de sangre en el mismo. Como resultado, mejora la atención de los pacientes, democratizando el uso de un test diagnóstico que reduce las intervenciones innecesarias y permite el ahorro de un recurso escaso, como lo es la sangre. Se implica tecnología de microfluídica para facilitar el acceso a los tests, reduciendo el costo y facilitando su uso.</t>
  </si>
  <si>
    <t xml:space="preserve">El objetivo es el culminar el diseño, desarrollo y construcción de un prototipo funcional de Embalaje y Módulo de Blindaje para almacenar en seco Elementos Combustibles Gastados (ECGs) de Centrales Nucleares, evitando el acumulamiento de de uranio actualment almacenado en piletas de decaimiento radiactivo, luego de su uso como combustible.
</t>
  </si>
  <si>
    <t xml:space="preserve">El objetivo es desarrollar y fabricar a escala piloto la primera silla bipedestadora motorizada para niños de Latinoamérica. Este producto será el primero que combine las funciones del bipedestador y la silla motorizada en uno solo, siendo autopropulsable, con controles de mando y conectividad IoT, para fomentar la inclusión y promover la movilidad independiente de los niños con discapacidad motriz. 
</t>
  </si>
  <si>
    <t>El objetivo es crear una tienda para ampliar su catálogo de ofertas para el que ofrece servicios de publicación, logística, difusión y venta a autores. Su implementación permitirá expandir el mercado, bajar los costos de impresión y de logística gracias al volumen de clientes, generar un espacio único donde los autores favoritos cobren el 50% de lo que los usuarios pagan por sus libros y generar, en el plazo de un año, un servicio rentable que, a su vez, fomente la producción cultural.</t>
  </si>
  <si>
    <t>El objetivo es incluir una herramienta de inteligencia artificial (IA), haciendo más eficiente y rápida, la gestión de centros médicos con o sin hospitalización, tales como consultas, turnos, pacientes o los mismos profesionales. Con este, se agilizaría la gestión generando alertas, que indicarían los turnos que quedaron libres al igual que quirófanos, profesionales, para no dejar tiempos e instalaciones ociosas, y ganando eficiencia en la prestación de servicios optimizar el uso de recursos de la institución sanitaria.</t>
  </si>
  <si>
    <t xml:space="preserve">El objetivo del proyecto es diseñar, desarrollar y construir un equipo que, con tecnología 4.0, realice una replantación de fallas en el cultivo de caña de azúcar para optimizar el uso del suelo.
</t>
  </si>
  <si>
    <t xml:space="preserve"> Desarrollar un electroporador oncológico para el extirpado de tumores en pacientes con cancer. El procedimiento se basa en la aplicación de múltiples electrodos sobre el tumor, por lo cual, esta terapia es ideal para tumores con mucho riego sanguíneo, se aplica para tratar melanomas, sarcomas y otros tipos de cáncer de piel. La fabricación del prototipo funcional permitirá luego producir el producto en escala y comercializarlo a nivel nacional e internacional.</t>
  </si>
  <si>
    <t>Optimizar sus procesos para los servicios de caracterización de secuencias del ADN a la agroindustria nacional (servicios genéticos para distintos cereales como cebada y trigo). Esto permitirá 1. Internalizar procesos, reducir el tiempo de informe de resultados y sustituir importaciones de servicios; 2. Incorporar nuevas tecnologías de marcadores moleculares; 3. Invertir en la optimización de herramientas genéticas para trigo.</t>
  </si>
  <si>
    <t xml:space="preserve">El objetivo del presente proyecto es diseñar y construir un módulo que, gracias a una fuente de Cobalto 60 proveniente de Centrales Nucleares, funcione como Equipo Irradiador de líquidos contaminantes para su tratamiento e inocuidad antes de su descarga final.  Será entonces una respuesta tecnológica para brindar servicios de esterilización a partir de subproductos de la actividad nuclear.
</t>
  </si>
  <si>
    <t>El objetivo es desarrollar el prototipo de un nuevo aerogenerador de 4.5kw de potencia, para abastecer sitios remotos de la provincia de Tierra del Fuego donde no llega el tendido eléctrico actual. El equipo tendrá una baja velocidad de arranque del viento, incorporará un sistema de protección de palas automático ante altas velocidades de viento, y será confeccionado enteramente con insumos de la industria nacional.</t>
  </si>
  <si>
    <t>Los objetivos de la propuesta son validar el software de predicción Neobiomarkers que predice la respuesta farmacológica de pacientes con depresión mayor a partir de la investigación científica, para luego enviar el resultado de esta investigación a una revista científica de alto impact factor para su publicación y presentar la solicitud de patente del algoritmo utilizado y su software asociado, y comercializar este desarrollo a través de la plataforma de telesalud de Quies Mentis SAS.</t>
  </si>
  <si>
    <t>La empresa se dedica a la fabricación y comercialización de sistemas de transmisión por oleohidráulica, cadena o correas. Planea desarrollar una reingeniería de lay out y de procesos, con el fin de pasar de una cultura de papel a otra digitalizada, que contiene elementos de inteligencia artificial y realidad aumentada para facilitar el trabajo del personal y lograr un fuerte incremento de la productividad eliminando errores.</t>
  </si>
  <si>
    <t>El proyecto tiene dos objetivos principales, por un lado la implementación de herramientas de diseño, molderia y anidado virtuales (validando los diseños, reducir al mínimo el desperdicio de material y optimizar la productividad) y el desarrollo de una aplicación basada en realidad virtual y aumentada (para la gestión remota de equipamiento)</t>
  </si>
  <si>
    <t>Santa Fe</t>
  </si>
  <si>
    <t>Río Negro</t>
  </si>
  <si>
    <t>Entre Ríos</t>
  </si>
  <si>
    <t>Tierra del Fuego</t>
  </si>
  <si>
    <t>Córdoba</t>
  </si>
  <si>
    <t>La Rioja</t>
  </si>
  <si>
    <t>Buenos Aires</t>
  </si>
  <si>
    <t>Ciudad Autónoma de Buenos Aires</t>
  </si>
  <si>
    <t xml:space="preserve">Córdoba        </t>
  </si>
  <si>
    <t>Lanús</t>
  </si>
  <si>
    <t>Tandil</t>
  </si>
  <si>
    <t>Rosario</t>
  </si>
  <si>
    <t>San Justo</t>
  </si>
  <si>
    <t>La Plata</t>
  </si>
  <si>
    <t>Ezeiza</t>
  </si>
  <si>
    <t>Paraná</t>
  </si>
  <si>
    <t>Ituzaingó</t>
  </si>
  <si>
    <t>Vicente Lopez</t>
  </si>
  <si>
    <t>Río Grande</t>
  </si>
  <si>
    <t xml:space="preserve">San Justo </t>
  </si>
  <si>
    <t>Año de la partida presupuestaria a la cual corresponde el beneficio aprobado</t>
  </si>
  <si>
    <t>Razón social o nombre del beneficiario del programa SOLUCIONA</t>
  </si>
  <si>
    <t xml:space="preserve">CUIT del beneficiario </t>
  </si>
  <si>
    <t>Nombre del proyecto por el cual se aprueba el beneficio</t>
  </si>
  <si>
    <t>Breve descripción del proyecto beneficiario</t>
  </si>
  <si>
    <t>Actividad de la economía en la cual se enmarca el proyecto beneficiario</t>
  </si>
  <si>
    <t>Monto del Aporte No Reembolsable aprobado en concepto de beneficio</t>
  </si>
  <si>
    <t>Nombre de la provincia donde se localiza el beneficiario</t>
  </si>
  <si>
    <t>Código de la provincia según codificación INDEC</t>
  </si>
  <si>
    <t>Nombre de la localidad donde se localiza el beneficiario</t>
  </si>
  <si>
    <t>Código de la localidad según codificación INDEC</t>
  </si>
  <si>
    <t>San Carlos De Bariloche</t>
  </si>
  <si>
    <t>Río Cuarto</t>
  </si>
  <si>
    <t>Fabricación; Puesta A Punto; Mantenimiento E Introducción De Bienes Y Servicios</t>
  </si>
  <si>
    <t>Servicios De Investigación Y Desarrollo</t>
  </si>
  <si>
    <t>Software Y Servicios Informáticos Y Digitales</t>
  </si>
  <si>
    <t>Biotecnología; Bioeconomía; Biología; Bioquímica; Microbiología; Bioinformática; Biología Molecular; Neurotecnología E Ingeniería Genética; Geoingeniería Y Sus Ensayos Y Análisis</t>
  </si>
  <si>
    <t>Ingeniería Para La Industria Nuclear</t>
  </si>
  <si>
    <t>Servicios Geológicos Y De Prospección Y Servicios Relacionados Con La Electrónica Y Comunicaciones</t>
  </si>
  <si>
    <t>BODY HEALTH S.A.</t>
  </si>
  <si>
    <t>Nueva tecnología para tratamientos estéticos y de rehabilitación</t>
  </si>
  <si>
    <t xml:space="preserve">Desarrollar el primer lote de un nuevo equipo que combina dos tecnologías de alta calidad y software con nuevas funcionalidades. El prototipo presenta la posibilidad de unir dos terapias en un solo equipo (terapia de vacío y crioradiofrecuencia), para el tensado, reducción y modelado del cuerpo más la reactivación sanguínea y los músculos para las terapias de rehabilitación. A su vez, se desarrollará en él una nueva generación de pantallas y software que permitirá la conectividad a la nube para procesamiento de datos mediante Inteligencia Artificial y Geolocalización.
</t>
  </si>
  <si>
    <t>SERVICIOS DE INVESTIGACIÓN Y DESARROLLO</t>
  </si>
  <si>
    <t>EL DORADO S.R.L</t>
  </si>
  <si>
    <t xml:space="preserve">Transformación digital de la distribución de hormigón en Río Grande
</t>
  </si>
  <si>
    <t xml:space="preserve">El objetivo es incorporar la transformación digital en sus procesos con las automatizaciones en la carga, el seguimiento de la flota, desarrollo de una aplicación web para la gestión administrativa y logística, y uso de tecnologías de ciencia de datos (IA) e IoT a la predicción de tiempos logísticos. La finalidad será incrementar la eficiencia y mejorar la puntualidad de las entregas, con mejor trazabilidad e información, de modo de repercutir en la experiencia del usuario y la consecuente satisfacción del cliente.
</t>
  </si>
  <si>
    <t>FABRICACIÓN; PUESTA A PUNTO; MANTENIMIENTO E INTRODUCCIÓN DE BIENES Y SERVICIOS</t>
  </si>
  <si>
    <t>RAYOS X DINAN S A</t>
  </si>
  <si>
    <t xml:space="preserve">Nuevo equipo de radiología portátil de altas prestaciones
</t>
  </si>
  <si>
    <t xml:space="preserve">El objetivo de este proyecto es realizar el primer lote productivo de un nuevo producto. Se trata de un equipo portátil con las prestaciones de un equipo fijo de sala de rayos X, lo que permite llegar con la tecnología de diagnóstico por imágenes a muchos más pacientes y sin necesidad de ser trasladados.
</t>
  </si>
  <si>
    <t>INGENIERÍA PARA LA INDUSTRIA NUCLEAR</t>
  </si>
  <si>
    <t>AVE ESTUDIOS S R L</t>
  </si>
  <si>
    <t xml:space="preserve">Laboratorio de postproducción con nodos remotos en Estados Unidos y Europa
</t>
  </si>
  <si>
    <t xml:space="preserve">AVE ESTUDIOS SRL es una productora audiovisual  que en los últimos años se ha dedicado  al desarrollo de una herramienta que incorpora la inteligencia artificial a través de machine o deep learning para la manipulación de imagen. Indican que con un laboratorio equipado con la mejor tecnología y las herramientas, incluyendo los desarrollos de inteligencia artificial, y recursos con los que ya cuentan y oficinas remotas en EUA y Europa como centros de demanda global, podrían prestar servicios a todo el mundo desde esta locación. El proyecto implica la apertura de oficinas remotas en USA  y la Unión Europea. Los fondos solicitados serán destinados a la filial central en Buenos Aires, que necesita la mayor capacidad de procesamiento y transferencia para comandar los nodos.
</t>
  </si>
  <si>
    <t>PRODUCCIÓN Y POSTPRODUCCIÓN AUDIOVISUAL</t>
  </si>
  <si>
    <t>AS GESTION DE LA INFORMACION Y METODOS SAS</t>
  </si>
  <si>
    <t xml:space="preserve">Desarrollo de sistema integral para industrias 4.0
</t>
  </si>
  <si>
    <t xml:space="preserve">El objetivo es desarrollar una herramienta de gestión integral basada en Industria 4.0 aplicable a empresas, diseñada como un sistema web accesible y gestionable desde la nube, para que las industrias sean capaces de interconectar todos los procesos administrativos con los equipos, las instalaciones y roles especiales en la planta.  </t>
  </si>
  <si>
    <t>SOFTWARE Y SERVICIOS INFORMÁTICOS Y DIGITALES</t>
  </si>
  <si>
    <t>SIMA SOFTWARE S.A.</t>
  </si>
  <si>
    <t xml:space="preserve">SIMA
</t>
  </si>
  <si>
    <t xml:space="preserve">El proyecto consiste en desarrollar un nuevo producto, con nuevos algoritmos y computer vision, en una aplicación móvil que permitirá hacer un control de siembra más exacto a través de fotografías. Las mismas se procesarán a través de técnicas de computer vision y se obtendrá la cantidad y tamaño de cada planta sembrada. Con estos datos, más otros ingresados por el usuario, se obtendrá la densidad de siembra (plantas/hectárea) y otras variables agronómicas en cuestión de segundos. 
</t>
  </si>
  <si>
    <t>EMPRINET 4.0 S.A.</t>
  </si>
  <si>
    <t xml:space="preserve">ConectAR Salud        
</t>
  </si>
  <si>
    <t>Realizar el desarrollo de software y hardware capaz de garantizar atención médica en tiempo real en ciudades sin acceso a sistemas de salud de alta complejidad (público o privado), vinculando los servicios de EMERGENCIAS, URGENCIAS y DERIVACIONES MÉDICAS para reducir el período de tiempo entre la necesidad de atención y la respuesta profesional (impactando de forma directa en la tasa de morbimortalidad). Es una plataforma para realizar teleconsultas equipada con la última tecnología en conectividad y telemetría. Los dispositivos que se encuentran integrados, ofrecen al médico la posibilidad de tomar registro y conocer, cómo si estuviera in situ, un conjunto de datos necesarios para la elaboración del diagnóstico médico. De esta forma el software procesa, sistematiza y transmite esos datos a la nube mediante procedimientos facilitados por “internet de las cosas”, permitiendo monitorear al paciente y realizar un chequeo médico remoto y en tiempo real.</t>
  </si>
  <si>
    <t>G I S A  S.A.</t>
  </si>
  <si>
    <t xml:space="preserve">Sistema de trazabilidad para la Producción de Cannabis Medicinal
</t>
  </si>
  <si>
    <t xml:space="preserve">El proyecto apunta al desarrollo de un sistema que permita a los productores habilitados contar con una herramienta que otorgue, en tiempo real, el control del almacenamiento, fraccionamiento, transporte y trazabilidad del cannabis y de sus productos derivados. Adicionalmente, y mediante la emisión de reportes customizables, el cliente podrá contar con información precisa y segura de la cadena de suministro y trazabilidad de su ciclo productivo. Se destaca que el uso de la solución a desarrollar no está limitado a la industria cannábica, sino que puede ser implementada en todas las verticales del sector Agroindustrial.
</t>
  </si>
  <si>
    <t>INELPA TRANSFORMADORES S.A. (ex PALMIERI RICARDO MARIO Y PALMIERI ROBERTO OSVALDO)</t>
  </si>
  <si>
    <t xml:space="preserve">Incorporación de nueva tecnología de bobinado en folio y tecnología de gestión 4.0 para desarrollar transformadores de alta potencia exportables.
</t>
  </si>
  <si>
    <t xml:space="preserve">El objetivo del proyecto es desarrollar transformadores tipos seco incorporando tecnología de  folio continuo (aluminio y cobre) producto de la modernización internacional del sector, y por lo tanto representa una mejora en la competitividad. Los transformadores a desarrollar tendrán dentro de sus características la seguridad, bajo mantenimiento, ecológicos y potencias hasta 5000 KVA
La modernización tecnológica planificada implicará la incorporación de maquinaria e infraestructura para ampliar la capacidad productiva, tecnología digital para el área de producción y un software de gestión 4.0 para el control de calidad (trazabilidad de los productos y vinculación de las áreas). </t>
  </si>
  <si>
    <t>DESITEC S.A.</t>
  </si>
  <si>
    <t xml:space="preserve">Departamento de Ingeniería 3D
</t>
  </si>
  <si>
    <t xml:space="preserve">Tiene como objetivo desarrollar e instalar una oficina de ingeniería 3D para el trabajo específico de las tareas de escaneo e impresión 3D, incorporando materiales en la manufactura aditiva con impactos en los costos, tiempos y reutilización. Las piezas producidas abastecen el sistema de  sondas de telemedición electrónicas que realizan el senseo en tiempo real en tanques de almacenamiento de combustibles, cuyos clientes son estaciones de servicio, refinerías, proveedores de servicios petroleros e industrias.
</t>
  </si>
  <si>
    <t>UNIVERSIDAD NACIONAL DE RAFAELA</t>
  </si>
  <si>
    <t xml:space="preserve">Escenarios digitales en tiempo real y video 360°: Fortalecimiento de las capacidades del MadLab (UNRaf) para la producción audiovisual.
</t>
  </si>
  <si>
    <t xml:space="preserve">El objetivo de la presente convocatoria, es fortalecer las capacidades de equipamiento y recursos humanos del Laboratorio de Medios Audiovisual y Digitales.
Actualmente ofrecen, al ecosistema emprendedor, oportunidades de vinculación a través de sus ocho laboratorios, con un catálogo de oportunidades que incluye servicios, ensayos y capacitaciones. Entre sus líneas de trabajo, vienen desarrollando dos servicios:
- Producción audiovisual con video 360 a 8k para servicios de realidad virtual, transmisión inmersiva en vivo, proyectos en un campo de aplicación de realidad virtual y realidad aumentada;
- Producción Audiovisual Digital con UNREAL Engine para escenarios virtuales en tiempo real.
Declaran que ambas líneas de trabajo se encuentran activas, pero con equipamientos incompletos. 
</t>
  </si>
  <si>
    <t>COOPERATIVA DE PROVISION DE SERVICIOS AGRICOLAS "CRIADERO SANTA ROSA" LIMITADA</t>
  </si>
  <si>
    <t>Speed Breeding en soja: desarrollo de variedades superiores en menor tiempo.</t>
  </si>
  <si>
    <t xml:space="preserve">Optimizar el proceso de obtención de nuevas variedades de soja, a través de la implementación de la tecnología llamada “Speed Breeding” que utiliza cámaras de crecimiento de plantas con condiciones ambientales controladas para realizar avance acelerado de generaciones. </t>
  </si>
  <si>
    <t>AVIEM AERONAUTICA SRL</t>
  </si>
  <si>
    <t xml:space="preserve">Conversión digital de paneles de avionica  </t>
  </si>
  <si>
    <t>Se centra en formar al personal y adquirir el equipamiento necesario para la fabricación de paneles de instrumentos digitales para equipar aeronaves de aviación general y de instrucción básica y avanzada , para no tener que obtenerlos del exterior.</t>
  </si>
  <si>
    <t>INDUSTRIA SATELITAL Y AEROESPACIAL; TECNOLOGÍAS ESPACIALES</t>
  </si>
  <si>
    <t>LABORATORIO INDUSTRIAL FARMACEUTICO SOCIEDAD DEL ESTADO</t>
  </si>
  <si>
    <t xml:space="preserve">Aumento de la productividad de LIF SE a través de la incorporación de herramientas de la Economía del Conocimiento para la mejora de sus procesos.
</t>
  </si>
  <si>
    <t xml:space="preserve">El proyecto consiste en instrumentar una solución robótica y aumentar el grado de automatización de la etapa de acondicionado de blisters de su producción pública de medicamentos, avanzar en la construcción de un ERP que cubra todos los procesos de la organización incorporando módulos de gestión que tengan interoperabilidad tanto con el sistema actual del sector productivo de LIF como con los sistemas de la provincia de Santa Fe y agentes de contralor con los que la organización interactúa, capacitar a los y las trabajadoras en el uso de las nuevas herramientas adquiridas y adecuar y estandarizar los procesos al nuevo entorno productivo.   
</t>
  </si>
  <si>
    <t>YERUVA SA</t>
  </si>
  <si>
    <t xml:space="preserve">Integración de la cadena de valor (Frigoríficos proveedores – Yeruvá SA- Clientes) a través de la incorporación de tecnología 4.0 para incrementar la eficiencia de los procesos productivos disminuyendo desechos contaminantes.
</t>
  </si>
  <si>
    <t xml:space="preserve">El objetivo del proyecto es implementar un sistema de Tecnología 4.0 en el proceso de recolección de materia prima de los frigoríficos proveedores, asegurando la trazabilidad y el cumplimiento de las especificaciones técnicas en sus insumos. La finalidad será monitorear el proceso de recolección en sus parámetros de interés (temperatura, niveles en tanques, especificaciones técnicas y estado) en sus proveedores y un sistema de alarmas que permita prevenir problemas de calidad y fallas, que según indica la empresa generan actualmente pérdidas económicas e impacto ambiental por desechos frigoríficos. 
</t>
  </si>
  <si>
    <t>BIOINNOVO SA</t>
  </si>
  <si>
    <t xml:space="preserve">Generación de nuevas vacunas bovinas potenciadas: desarrollo y registro de las primeras vacunas reproductiva y respiratoria potenciadas con las molécula OMV
</t>
  </si>
  <si>
    <t xml:space="preserve">El objetivo del proyecto es desarrollar las vacunas BLOCK REPRODUCTIVA PLUS y BLOCK RESPIRATORIA PLUS a través de la incorporación de la plataforma potenciadora OMV. Esta tecnología consiste en la utilización de un antígeno que funciona como inmunógeno y resulta en un inmunomodulador que aumenta el efecto de la vacuna generada. De este modo, la incorporación de OMV pertussis mejorará la activación y el reclutamiento de células del sistema inmune aumentando la potencia de la vacuna.
</t>
  </si>
  <si>
    <t>BIOTECNOLOGÍA; BIOECONOMÍA; BIOLOGÍA; BIOQUÍMICA; MICROBIOLOGÍA; BIOINFORMÁTICA; BIOLOGÍA MOLECULAR; NEUROTECNOLOGÍA E INGENIERÍA GENÉTICA; GEOINGENIERÍA Y SUS ENSAYOS Y ANÁLISIS</t>
  </si>
  <si>
    <t>CROSETTO INGENIERIA S.A.</t>
  </si>
  <si>
    <t xml:space="preserve">TÚNEL DE CONGELAMIENTO INTELIGENTE (TCI)        
</t>
  </si>
  <si>
    <t xml:space="preserve">Presentan la fabricación del TCI (Túnel de Congelamiento Inteligente), surge de la necesidad de congelar cajas de productos pero que, a diferencia de un TRV (Túnel de Retención Variable) convencional, lo haga de manera ordenada, siguiendo la intralogística de acuerdo a la necesidad de cada cliente. 
De esta forma, después de un tiempo determinado, que por lo general es de 48hs, las cajas salen del mismo congeladas y ordenadas, listas para armar un pallet de productos, el cual estará conformado como lo solicite el cliente.
Para lograr esto, uno de los desarrollos más críticos del equipo miniload (robot que trabajará dentro del recinto y que tomará las cajas para congelar y ordenar) es la toma de cargas o sea, el gripper. El proyecto consiste en el desarrollo físico de un gripper que pueda tomar de a 5 a 8 cajas a la vez.
El desarrollo físico de un Gripper que pueda tomar de a 5 a 8 cajas a la vez es parte integrante de un Túnel de Congelamiento Inteligente, producto que aún no se ofrece en el país y conforma una propuesta tecnológica innovadora que aportará soluciones de eficiencia a la Industria Alimenticia Argentina. Este producto también se podrá ofrecer en el mercado internacional. 
</t>
  </si>
  <si>
    <t>BLACK ID ARGENTINA SA</t>
  </si>
  <si>
    <t>BLACK ID</t>
  </si>
  <si>
    <t xml:space="preserve">Desarrollar un software de gestión de venta de entradas para “revolucionar” la industria del entretenimiento urbano, resolviendo todas las problemáticas existentes en la gestión de eventos masivos, creando soluciones operativas para sus clientes y brindando herramientas a los usuarios y consumidores, y agilizando todos los procesos relacionados a dicho mercado.
</t>
  </si>
  <si>
    <t>MALABAR PRODUCCIONES S.R.L.</t>
  </si>
  <si>
    <t xml:space="preserve">Animación 2D como ventana al mundo.
</t>
  </si>
  <si>
    <t xml:space="preserve">Malabar Producciones S.R.L. es una productora audiovisual de contenidos originales y servicios de animación en 3D. Con el proyecto presentado buscan adquirir maquinarias, software y capacitaciones que mejoren las posibilidades de brindar servicios a grandes clientes del exterior.  Buscan armar un nuevo departamento de producción 2D, orientado al uso del software Toon Boom siguiendo la tendencia que se impone en el mercado internacional. Para su ejecución y prototipo interno de trabajo, se focalizará en el desarrollo de un teaser de su proyecto de largometraje llamado “SUR MARINA”. Además, se propone la asistencia a Mercados Internacionales como ventanas de exhibición y comercialización de sus servicios.         </t>
  </si>
  <si>
    <t xml:space="preserve"> DESCAR ARGENTINA S R L</t>
  </si>
  <si>
    <t xml:space="preserve">Desarrollo de servicio 4.0 sobre diseño de matrices de estampado de chapa.
</t>
  </si>
  <si>
    <t>El objetivo del proyecto es desarrollar un servicio 4.0 de diseño de matrices mediante la incorporación de infraestructura para un servicio completo de diseño de matrices y asistencia a los clientes en la ejecución para el desarrollo, prototipos y puesta a punto de piezas. Lo realizará mediante la incorporación de un escáner 3D portátil (grado metrológico), un software de medición y un cabezal de corte láser para el desarrollo a escala prototipo de un servicio de diseño de matricería de estampado de chapa</t>
  </si>
  <si>
    <t>SLB INGENIERIA S.R.L.</t>
  </si>
  <si>
    <t xml:space="preserve">Diseño y puesta en funcionamiento de planta de tratamiento de residuos, autosustentable, con control y monitoreo remoto.
</t>
  </si>
  <si>
    <t xml:space="preserve">El proyecto apunta a desarrollar una planta modelo de gestión y monitoreo remoto, para la generación de energía eléctrica y calórica, mediante el tratamiento de residuos industriales sólidos y líquidos no peligrosos. Se busca desarrollar un servicio integral del tratamiento de residuos; que abarcaría desde el diseño del proceso productivo, la construcción de la planta, y la puesta en marcha y manejo de ésta, mediante un sistema integral de monitoreo en tiempo real y a distancia para el control y gestión del proceso productivo.
</t>
  </si>
  <si>
    <t>DARWIN CERVEZA ARTESANAL S.R.L.</t>
  </si>
  <si>
    <t xml:space="preserve">Propagador de Levadura        
</t>
  </si>
  <si>
    <t xml:space="preserve">El proyecto presentado apunta a desarrollar y producir un propagador de levaduras incorporando sensores y software de control, que permita el seguimiento de variables y el ajuste automático, de modo de lograr una óptima evolución del proceso. El objetivo del proyecto es el desarrollo del propagador, con el fin de llevar su producción de levadura a escala industrial.
</t>
  </si>
  <si>
    <t>UGUTEC S.R.L.</t>
  </si>
  <si>
    <t>Mesa de corte de vidrio automática</t>
  </si>
  <si>
    <t>El objetivo es diseñar y fabricar una máquina inteligente para el proceso de Corte del vidrio monolítico, incorporando interconectividad, automatización y toma de los datos de corte en tiempo real. La finalidad será producir la primera mesa de corte CNC de fabricación nacional, programable y con sensores incorporados para realizar un aprovechamiento máximo del vidrio, se reduciendo el desperdicio y disminuyendo el impacto ambiental (con beneficios económicos)</t>
  </si>
  <si>
    <t>DI CHENA Y ASOCIADOS S R L</t>
  </si>
  <si>
    <t xml:space="preserve">TalentWorkbit
</t>
  </si>
  <si>
    <t xml:space="preserve">Di Chena y Asociados SRL está enfocada en el desarrollo de soluciones para la gestión empresarial, por lo que cuenta en su cartera de productos herramientas ERP y soluciones de liquidación de sueldos y jornales, entre otros.  El objetivo del proyecto es desarrollar una solución de gestión documental para la publicación de recibos de sueldos digitales, realizar su firma digital acorde a la ley y la publicación del legajo digital de los recursos humanos de las empresas usuarias. En consecuencia, se obtendrá una plataforma digital en la que las empresas que la adquieran publicarán allí los recibos de sueldos acordes a la normativa digital, para poder firmarlos y disponerlos para su visualización por los empleados conjunto al historial. La carga de otros documentos digitales permitirán el armado de un legajo electrónico, y en un estadío futuro, se integrará a los sistemas ERP de forma de complementar el producto actual con la aprobación y publicación electrónica de documentos. 
</t>
  </si>
  <si>
    <t>ZEV Technology SAS</t>
  </si>
  <si>
    <t>Panel Respiratorio IRIS Exam kit</t>
  </si>
  <si>
    <t xml:space="preserve">Adecuar las instalaciones y obtener la información y documentación necesaria para iniciar los trámites para conseguir el registro del kit panel respiratorio (producto) basado en la tecnología IRIS ante el ente regulador ANMAT como kit de diagnóstico de uso in-vitro (IVD), para su comercialización, primero en Argentina y luego en la región.
</t>
  </si>
  <si>
    <t>PS CINE S.A.S.</t>
  </si>
  <si>
    <t xml:space="preserve">El juicio -  Restauración de imagen del archivo de video del Juicio a las Juntas.
</t>
  </si>
  <si>
    <t xml:space="preserve">Desde 2019 están desarrollando el largometraje documental “El juicio” en producción asociada con Memoria Abierta, ONG que custodia el archivo existente del juicio a las juntas  y en coproducción con La Sarraz films, de Italia.  Esta película documental realizada exclusivamente con el archivo de video U-matic grabado durante las 90 jornadas que duró el Juicio a las Juntas Militares de 1985, digitalizado en 2010.
El proyecto propone la restauración del archivo de video utilizado en el film documental (175 min.) y su postproducción;  y el acondicionamiento de documentos de catalogación, indexado y edición para facilitar el acceso al archivo integral del Juicio a las Juntas (530 hs) a futuras investigaciones y trabajos audiovisuales. Se busca realizar una completa restauración de la imagen y el sonido, cuya grabación en 1985 y digitalización en 2010 ofrecen una calidad DV .avi ya ampliamente superada, para llevarla a la calidad de resolución a 2k en formato APPLE PRORES.
</t>
  </si>
  <si>
    <t>LIGNIS S.A.</t>
  </si>
  <si>
    <t xml:space="preserve">Agrobiopaq sistema Waste2Fuel para Podas de Frutales
</t>
  </si>
  <si>
    <t xml:space="preserve">Lignis desarrolla y comercializa en el campo de las energías renovables, soluciones para la generación de combustibles biomásicos. La firma cuenta comercializando un sistema de gestión de residuos de la poda urbana denominado “Urbiopaq”, el mismo consiste en un proceso de compactación del material de poda en las calles, realizando su recolección y manejo.
El objetivo del proyecto es desarrollar un equipo específico para el procesamiento de residuos de árboles frutales y forestales. A partir del equipo precedente, se podrá estudiar los comportamientos de las podas de cultivos, hacer la reingeniería de los sistemas mecánicos, y el desarrollo de un sistema de corte automático, con el fin de obtener una maquinaria específica y selectiva para el material objetivo. La finalidad será proveer a los productores de fruta con un equipo para el manejo de sus residuos y permitirle a partir de su trabajo cotidiano generar además combustible biomásico e integrarse a la cadena de valor de las energías renovables.
</t>
  </si>
  <si>
    <t>QUANTUM TECNOLOGIA SA</t>
  </si>
  <si>
    <t xml:space="preserve">Producción Nacional de Cordones y Rabillos de Fibra Óptica con conectores MPO
</t>
  </si>
  <si>
    <t xml:space="preserve">La empresa Quantum Tecnología S.A. fabrica localmente cordones y rabillos de fibra óptica con conectores monofibra. Además, Suministran materiales para la construcción y conexionado de redes de cables de Fibra Óptica, de Cobre y equipos terminales para el servicio de banda ancha. 
El objetivo de este proyecto es contar con una línea de producción de cordones y rabillos de Fibra Óptica dotados de conectores de tecnología MPO (Multi-Fiber Push On), diversificando así la oferta con respecto a la actual, consistente en fabricación de cordones de fibra óptica dotados de conectores monofibra. La capacidad de fabricación de cordones MPO, abre la posibilidad de ampliar el mercado a data centers, nodos de telecomunicaciones de muy alta densidad, industria automotriz, industria robótica. Esta tecnología no tiene proveedores locales en Argentina y, suministrarla como producto nacional, significa una importante sustitución de importaciones de productos de valor agregado.
</t>
  </si>
  <si>
    <t>GIE S.A</t>
  </si>
  <si>
    <t>Sistema de monitoreo de estaciones de prueba de protección catódica.</t>
  </si>
  <si>
    <t xml:space="preserve">Uno de los servicios que ofrece la empresa son los controles de corrosión para la industria Oil &amp; Gas y Minería. Este tipo de industrias utilizan sistemas de transporte a través de ductos subterráneos que son deteriorados por corrosión. Dichos sistemas cuentan con protección catódica, un método electroquímico utilizado para prevenir y controlar la corrosión. 
Actualmente, en el país las empresas dedicadas a la minería y al petróleo contratan personal para controlar de forma manual la protección catódica de los ductos y a través de este proyecto, la firma propone el diseño de una nueva tecnología en la región capaz de  monitorear la protección catódica de forma remota y automática. La propuesta se basa en una solución  que integra el desarrollo de software, hardware y una plataforma de visualización de datos. Este sistema contará con un datalogger DPC (Datalogger Protección Catódica) y la plataforma MCPC (Monitoreo de Cupones de Protección Catódica). Este sistema de monitoreo además contará con comunicación satelital o celular (según el modelo) y permitirá almacenar los datos recolectados en la nube. 
</t>
  </si>
  <si>
    <t>SERVICIOS GEOLÓGICOS Y DE PROSPECCIÓN Y SERVICIOS RELACIONADOS CON LA ELECTRÓNICA Y COMUNICACIONES</t>
  </si>
  <si>
    <t>LABORATORIO ELEA PHOENIX S.A.</t>
  </si>
  <si>
    <t xml:space="preserve">Desarrollo de Métodos de caracterización y control de Anticuerpos Monoclonales utilizados en Oncología y Enfermedades Autoinmunes        </t>
  </si>
  <si>
    <t xml:space="preserve">La empresa propone adquirir equipamiento analitico para el desarrollo de ensayos con el fin de desarrollar y comercializar biomoléculas específicas denominadas “Anti-TNF Adalimumab” (anticuerpo monoclonal de inmunoglobulina humana- lgG1) y”Anti-Checkpoint” (anticuerpo monoclonal).
El objetivo del proyecto es desarrollar metodologías analíticas de caracterización molecular y control de calidad cGLP de anticuerpos monoclonales biosimilares, para poder realizar estos análisis localmente ya que actualmente se tercerizan en instituciones externas de EEUU y países de Europa. La empresa aspira a desarrollar una plataforma tecnológica de desarrollo y control de biomoléculas íntegramente nacional.
</t>
  </si>
  <si>
    <t>INMUNOVA S.A.</t>
  </si>
  <si>
    <t>Mejoras analíticas para la aprobación y exportación de  un medicamento biotecnológico de alto valor agregado</t>
  </si>
  <si>
    <t xml:space="preserve">La empresa “Inmunova S.A.” pertenece al sector de la Economía del Conocimiento, y se dedica a desarrollar nuevas vacunas y sueros terapéuticos para enfermedades sin tratamientos disponibles, utilizando la ingeniería de proteínas y anticuerpos. Inmunova desarrolló un medicamento para el tratamiento del Síndrome Urémico Hemolítico (SUH). Para ello desarrolló mediante ingeniería de proteínas un inmunógeno muy potente, patentado internacionalmente junto al CONICET. El mismo fue utilizado para inmunizar caballos y obtener un suero hiperinmune con una gran capacidad neutralizante contra la toxina que produce esta enfermedad. La empresa en un principio declara que el presente proyecto implica mejorar aspectos críticos de producción y controles de calidad, tanto del inmunógeno como del producto farmacéutico inyectable, a fin de alcanzar el estándar solicitado para la aprobación regulatoria de este medicamento, no solo en Argentina sino también en los principales países del mundo con altos criterios de aprobaciones. 
</t>
  </si>
  <si>
    <t>WOXA SRL</t>
  </si>
  <si>
    <t xml:space="preserve">Lote piloto, registro y comercialización de kit de diagnóstico molecular de HPV         </t>
  </si>
  <si>
    <t>El proyecto consiste en desarrollar el primer test para detección de HPV de alto riesgo oncológico por tecnología PCR en Tiempo Real, utilizando un robot que automatiza la práctica de estas pruebas.</t>
  </si>
  <si>
    <t>Laboratorio Azul Diagnostco SA</t>
  </si>
  <si>
    <t>SERVICIO DE DIAGNÓSTICO VETERINARIO PARA PROGRAMA DE MONITOREO EN GRANJAS PORCINAS</t>
  </si>
  <si>
    <t xml:space="preserve">La propuesta presentada se enfoca en establecer y extender una nueva línea de soluciones para la producción  porcina,  que comprende el desarrollo de servicios de diagnóstico para Salmonella, Influenza, Rotavirus y Brucelosis integrados a un programa de monitoreo de los patógenos circulantes mediante la conservación en cepario para la producción de autovacunas. El objetivo central del proyecto es establecer un sistema de diagnóstico eficiente para la producción porcina, que aporte la información necesaria para el diseño de estrategias sanitarias y a su vez, contar con un cepario como insumo para la producción de autovacunas, acortando los tiempos de respuesta ante eventuales brotes.  El diagnóstico sirve  para entender los problemas sanitarios que pudiera tener un establecimiento y también como herramienta de resolución de eventualidades con una visión preventiva.
</t>
  </si>
  <si>
    <t>INVENTU S.R.L.</t>
  </si>
  <si>
    <t>Fabricación de maquinaria y equipo de uso general</t>
  </si>
  <si>
    <t>El objetivo del proyecto es desarrollar un servicio de monitoreo del uso de máquinas y equipos de la industria, basada en tecnología IoT. Este, mediante un tablero de control en tiempo real, podrá realizar alertas programables y procesamiento de indicadores de interés para el proceso. La finalidad será proveer un Paas (Producto como Servicio) que sea una herramienta llamada “Factory Cast” accesible en costo y de fácil instalación y funcionamiento tras el pago de un abono.</t>
  </si>
  <si>
    <t>BENEFICIAL GERMS S.A</t>
  </si>
  <si>
    <t xml:space="preserve">Escalado a nivel comercial de coadyuvantes bacterianos liofilizados, cultivos iniciadores utilizados en la industria cárnica en base a microorganismos autóctonos que sustituyen importaciones        
</t>
  </si>
  <si>
    <t xml:space="preserve">Beneficial Germs es una empresa dedicada a brindar soluciones biotecnológicas aplicadas a la industria agropecuaria. Produce aditivos biológicos, como inoculantes para la conservación de forraje, basados en bacterias benéficas, que reemplazan el uso de agroquímicos generando simbiosis y acelerando los procesos fermentativos obteniendo mejor calidad de producto.
Mediante el presente proyecto, la empresa busca desarrollar y escalar a nivel industrial la producción de una línea de coadyuvantes bacterianos, para  la conservación de embutidos. El mercado objetivo de dicho producto son los productores de chacinados y salazones, contratistas rurales, establecimientos agrícolas, tambos, feedlot, cabañas y establecimientos de cría y recría. </t>
  </si>
  <si>
    <t>DIVISION INDUSTRIAL SA</t>
  </si>
  <si>
    <t>BUS INTERACTIVO TURÍSTICO Y EDUCATIVO</t>
  </si>
  <si>
    <t>El proyecto presentado propone profundizar el proceso educativo de estudiantes del nivel primario de la Provincia de Mendoza, así como de padres y docentes, a través de la visita presencial de hitos históricos, geográficos, culturales y/o productivos de Mendoza, reforzando los contenidos curriculares por medio de la utilización de  realidad aumentada, realidad virtual y videojuegos con contenidos audiovisuales e impresos.</t>
  </si>
  <si>
    <t>NOVOSENS S.A.S.</t>
  </si>
  <si>
    <t>Perfeccionamiento y validación en planta de analizador de concentración de etanol</t>
  </si>
  <si>
    <t xml:space="preserve">Novosens S.A.S. es una empresa dedicada al desarrollo de biosensores enzimáticos amperométricos para la medición de compuestos industriales. Actualmente la empresa ya ha desarrollado biosensores de este tipo para la medición de glucosa o ácido láctico. Hace ocho años se encuentran desarrollando el prototipo “ETOH”, un biosensor enzimático que mide los niveles de alcohol en vinos y caldos de fermentación. Los biosensores enzimáticos amperométricos se caracterizan por realizar mediciones rápidas, eficientes, precisas y no requieren de una preparación previa de la muestra.
Con el presente proyecto, la empresa busca finalizar el desarrollo de estos prototipos, demostrando la robustez tecnológica del equipo en un ambiente real como una bodega, asegurando los valores de error requeridos por el ente nacional regulador (INV) y obteniendo la  certificación del Organismo Argentino de Acreditación (OAA).
</t>
  </si>
  <si>
    <t>MOTHUS TECHNOLOGY S.A.S.</t>
  </si>
  <si>
    <t xml:space="preserve">KINEBOT - Tecnología robótica inteligente para neuro-rehabilitación.
</t>
  </si>
  <si>
    <t xml:space="preserve">Actualmente la empresa ha desarrollado un prototipo del equipo KINEBOT, un equipo de neurorehabilitación de desarrollo propio que permite reentrenar a los pacientes con lesiones traumáticas, congénitas o neurológicas. Este equipo se opera a través de robótica e inteligencia artificial permitiendo al paciente recuperar la zona del cerebro dañado y las funciones motoras perdidas. 
Mothus technology no cuenta con una planta habilitada para la producción de dispositivos médicos, por lo que la empresa declara la intención de realizar la producción a través de un proceso de hosting en la empresa Grupo Proyectar Innovación SRL.
Con el presente proyecto, Mothus busca producir un lote piloto de cinco prototipos Kinebot para el estudio multicéntrico de validación y ensayos para la aprobación de ANMAT. 
</t>
  </si>
  <si>
    <t>MIRAI 3D S.R.L.</t>
  </si>
  <si>
    <t>Plataforma inmersiva de simulación quirúrgica</t>
  </si>
  <si>
    <t>El objetivo del proyecto es desarrollar una plataforma de simulación quirúrgica híbrida para el entrenamiento con simuladores de realidad aumentada y experiencias digitales inmersivas, además de un nuevo simulador para urología enfocado particularmente en la patología hiperplasia prostática benigna (HPB). La finalidad será proveer de productos útiles para la planificación y entrenamiento de  cirugías (médicos uro-oncólogos) como la nefrectomía parcial y prostatectomía radical.</t>
  </si>
  <si>
    <t>HARDFACING SRL</t>
  </si>
  <si>
    <t>Fabricación de productos elaborados de metal</t>
  </si>
  <si>
    <t>El objetivo del proyecto es desarrollar un sistema robotizado de soldadura, mediante dos robots (uno fijo y otro transportable), para integrar un sistema automático  anti-desgaste de superficies en chapas bimetálicas. La finalidad será cumplir con los parámetros de calidad demandados a nivel internacional, y ser una empresa pionera en una solución nacional en planta de producción (servicio de recargue duros por soldadura de piezas) y en campo (servicio de arreglo de fallas estructurales in situ)</t>
  </si>
  <si>
    <t>DELTA3 SRL</t>
  </si>
  <si>
    <t xml:space="preserve">Desarrollo de simuladores de maquinaria industrial basados en tecnologías de realidad virtual, para que pueda ser operado vía web.
</t>
  </si>
  <si>
    <t xml:space="preserve">El proyecto tiene dos fases: desarrollar una plataforma web para brindar capacitaciones a operadores de empresas y  ampliar una zona de producción dentro de la planta de la empresa  para diseñar piezas necesarias para la construcción de prototipos de simuladores de realidad virtual.
El objetivo del proyecto es desarrollar un prototipo de plataforma que pueda operarse a distancia vía web generando nuevas oportunidades de negocios para la empresa. La empresa busca hacer accesible esta tecnología en forma masiva. 
</t>
  </si>
  <si>
    <t>UNION VITIVINICOLA ARGENTINA ASOCIACION</t>
  </si>
  <si>
    <t>Asistencia interactiva para mejorar la competitividad de la vitivinicultura argentina</t>
  </si>
  <si>
    <t xml:space="preserve">El proyecto presentado propone diseñar e implementar una Web App. y una aplicación de realidad virtual para asistir a bodegas y productores vitícolas en la mejora de su grado de competitividad, facilitando el acceso a información para la toma de decisiones, el aprovechamiento de contenidos para formar los distintos niveles de recursos humanos existentes y de aquellos que aspiran a trabajar en la industria.
</t>
  </si>
  <si>
    <t>Tucumán</t>
  </si>
  <si>
    <t>Mendoza</t>
  </si>
  <si>
    <t>Tigre</t>
  </si>
  <si>
    <t>Mar del Plata</t>
  </si>
  <si>
    <t>Rafaela</t>
  </si>
  <si>
    <t>General Rodriguez</t>
  </si>
  <si>
    <t>General San Martin</t>
  </si>
  <si>
    <t>Moreno</t>
  </si>
  <si>
    <t>Cordoba</t>
  </si>
  <si>
    <t>San Lorenzo</t>
  </si>
  <si>
    <t>Reconquista</t>
  </si>
  <si>
    <t>Malvinas Argentinas</t>
  </si>
  <si>
    <t>Azul</t>
  </si>
  <si>
    <t>Chivilcoy</t>
  </si>
  <si>
    <t>Tafi Viejo</t>
  </si>
  <si>
    <t>Cañada de Gómez</t>
  </si>
  <si>
    <t>General San Martín</t>
  </si>
  <si>
    <t>Rio Grande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</si>
</sst>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49" fontId="1" fillId="0" borderId="0" xfId="0" applyNumberFormat="1" applyFont="1" applyAlignment="1">
      <alignment horizontal="center" vertical="center"/>
    </xf>
    <xf numFmtId="49" fontId="1" fillId="0" borderId="0" xfId="0" applyNumberFormat="1" applyFont="1" applyAlignment="1">
      <alignment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0" fontId="0" fillId="0" borderId="0" xfId="0" applyFont="1" applyAlignment="1"/>
    <xf numFmtId="49" fontId="1" fillId="0" borderId="0" xfId="0" applyNumberFormat="1" applyFont="1" applyAlignment="1">
      <alignment horizontal="left" vertical="center"/>
    </xf>
    <xf numFmtId="0" fontId="1" fillId="0" borderId="0" xfId="0" applyFont="1" applyAlignment="1">
      <alignment horizontal="left" vertical="center"/>
    </xf>
    <xf numFmtId="1" fontId="1" fillId="0" borderId="0" xfId="0" applyNumberFormat="1" applyFont="1" applyAlignment="1">
      <alignment horizontal="left" vertical="center"/>
    </xf>
    <xf numFmtId="0" fontId="1" fillId="0" borderId="0" xfId="0" applyNumberFormat="1" applyFont="1" applyAlignment="1">
      <alignment horizontal="center" vertical="center"/>
    </xf>
    <xf numFmtId="49" fontId="0" fillId="0" borderId="0" xfId="0" applyNumberFormat="1"/>
    <xf numFmtId="49" fontId="1" fillId="0" borderId="0" xfId="0" applyNumberFormat="1" applyFont="1" applyFill="1" applyAlignment="1">
      <alignment horizontal="center" vertical="center"/>
    </xf>
    <xf numFmtId="49" fontId="1" fillId="0" borderId="0" xfId="0" applyNumberFormat="1" applyFont="1" applyFill="1" applyAlignment="1">
      <alignment vertical="center"/>
    </xf>
    <xf numFmtId="0" fontId="1" fillId="0" borderId="0" xfId="0" applyNumberFormat="1" applyFont="1" applyFill="1" applyAlignment="1">
      <alignment horizontal="center" vertical="center"/>
    </xf>
    <xf numFmtId="49" fontId="1" fillId="0" borderId="0" xfId="0" applyNumberFormat="1" applyFont="1" applyFill="1" applyAlignment="1">
      <alignment horizontal="left" vertical="center"/>
    </xf>
    <xf numFmtId="0" fontId="0" fillId="0" borderId="0" xfId="0" applyFill="1"/>
    <xf numFmtId="49"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206D9-08A7-4E0E-867B-FAEBFE6C0FCD}">
  <dimension ref="A1:M64"/>
  <sheetViews>
    <sheetView tabSelected="1" workbookViewId="0">
      <selection activeCell="B10" sqref="B10"/>
    </sheetView>
  </sheetViews>
  <sheetFormatPr baseColWidth="10" defaultRowHeight="14.5" x14ac:dyDescent="0.35"/>
  <cols>
    <col min="1" max="1" width="19.81640625" bestFit="1" customWidth="1"/>
    <col min="2" max="2" width="40.453125" bestFit="1" customWidth="1"/>
    <col min="3" max="3" width="16.1796875" customWidth="1"/>
    <col min="4" max="4" width="31.26953125" customWidth="1"/>
    <col min="5" max="6" width="15.453125" bestFit="1" customWidth="1"/>
    <col min="7" max="7" width="14.54296875" bestFit="1" customWidth="1"/>
    <col min="8" max="8" width="28.26953125" bestFit="1" customWidth="1"/>
    <col min="9" max="9" width="11" bestFit="1" customWidth="1"/>
    <col min="10" max="10" width="28.26953125" bestFit="1" customWidth="1"/>
    <col min="11" max="11" width="12" bestFit="1" customWidth="1"/>
  </cols>
  <sheetData>
    <row r="1" spans="1:13" s="5" customFormat="1" x14ac:dyDescent="0.35">
      <c r="A1" s="1" t="s">
        <v>0</v>
      </c>
      <c r="B1" s="2" t="s">
        <v>1</v>
      </c>
      <c r="C1" s="1" t="s">
        <v>2</v>
      </c>
      <c r="D1" s="2" t="s">
        <v>3</v>
      </c>
      <c r="E1" s="2" t="s">
        <v>4</v>
      </c>
      <c r="F1" s="2" t="s">
        <v>5</v>
      </c>
      <c r="G1" s="3" t="s">
        <v>6</v>
      </c>
      <c r="H1" s="2" t="s">
        <v>7</v>
      </c>
      <c r="I1" s="3" t="s">
        <v>8</v>
      </c>
      <c r="J1" s="2" t="s">
        <v>9</v>
      </c>
      <c r="K1" s="4" t="s">
        <v>10</v>
      </c>
    </row>
    <row r="2" spans="1:13" x14ac:dyDescent="0.35">
      <c r="A2" s="1">
        <v>2022</v>
      </c>
      <c r="B2" s="2" t="s">
        <v>12</v>
      </c>
      <c r="C2" s="9">
        <f>33622362169</f>
        <v>33622362169</v>
      </c>
      <c r="D2" s="2" t="s">
        <v>32</v>
      </c>
      <c r="E2" s="2" t="s">
        <v>53</v>
      </c>
      <c r="F2" s="2" t="s">
        <v>107</v>
      </c>
      <c r="G2" s="9">
        <v>19893830</v>
      </c>
      <c r="H2" s="6" t="s">
        <v>78</v>
      </c>
      <c r="I2" s="1">
        <v>14</v>
      </c>
      <c r="J2" s="6" t="s">
        <v>82</v>
      </c>
      <c r="K2" s="1">
        <v>14014010000</v>
      </c>
    </row>
    <row r="3" spans="1:13" x14ac:dyDescent="0.35">
      <c r="A3" s="1">
        <v>2022</v>
      </c>
      <c r="B3" s="2" t="s">
        <v>13</v>
      </c>
      <c r="C3" s="9">
        <f>30716350157</f>
        <v>30716350157</v>
      </c>
      <c r="D3" s="2" t="s">
        <v>33</v>
      </c>
      <c r="E3" s="2" t="s">
        <v>54</v>
      </c>
      <c r="F3" s="2" t="s">
        <v>108</v>
      </c>
      <c r="G3" s="9">
        <v>25000000</v>
      </c>
      <c r="H3" s="6" t="s">
        <v>78</v>
      </c>
      <c r="I3" s="1">
        <v>14</v>
      </c>
      <c r="J3" s="6" t="s">
        <v>78</v>
      </c>
      <c r="K3" s="1">
        <v>14014010000</v>
      </c>
    </row>
    <row r="4" spans="1:13" x14ac:dyDescent="0.35">
      <c r="A4" s="1">
        <v>2022</v>
      </c>
      <c r="B4" s="2" t="s">
        <v>14</v>
      </c>
      <c r="C4" s="9">
        <f>30711171890</f>
        <v>30711171890</v>
      </c>
      <c r="D4" s="2" t="s">
        <v>34</v>
      </c>
      <c r="E4" s="2" t="s">
        <v>55</v>
      </c>
      <c r="F4" s="2" t="s">
        <v>108</v>
      </c>
      <c r="G4" s="9">
        <v>12181500</v>
      </c>
      <c r="H4" s="6" t="s">
        <v>80</v>
      </c>
      <c r="I4" s="1">
        <v>6</v>
      </c>
      <c r="J4" s="6" t="s">
        <v>83</v>
      </c>
      <c r="K4" s="1">
        <v>6434010001</v>
      </c>
    </row>
    <row r="5" spans="1:13" x14ac:dyDescent="0.35">
      <c r="A5" s="1">
        <v>2022</v>
      </c>
      <c r="B5" s="2" t="s">
        <v>15</v>
      </c>
      <c r="C5" s="1">
        <v>30717197204</v>
      </c>
      <c r="D5" s="2" t="s">
        <v>35</v>
      </c>
      <c r="E5" s="2" t="s">
        <v>56</v>
      </c>
      <c r="F5" s="2" t="s">
        <v>109</v>
      </c>
      <c r="G5" s="9">
        <v>8000000</v>
      </c>
      <c r="H5" s="6" t="s">
        <v>80</v>
      </c>
      <c r="I5" s="1">
        <v>6</v>
      </c>
      <c r="J5" s="6" t="s">
        <v>84</v>
      </c>
      <c r="K5" s="1">
        <v>6791050000</v>
      </c>
      <c r="M5" s="10"/>
    </row>
    <row r="6" spans="1:13" x14ac:dyDescent="0.35">
      <c r="A6" s="1">
        <v>2022</v>
      </c>
      <c r="B6" s="2" t="s">
        <v>16</v>
      </c>
      <c r="C6" s="1">
        <v>30714240540</v>
      </c>
      <c r="D6" s="2" t="s">
        <v>36</v>
      </c>
      <c r="E6" s="2" t="s">
        <v>57</v>
      </c>
      <c r="F6" s="2" t="s">
        <v>109</v>
      </c>
      <c r="G6" s="9">
        <v>10000000</v>
      </c>
      <c r="H6" s="6" t="s">
        <v>74</v>
      </c>
      <c r="I6" s="1">
        <v>82</v>
      </c>
      <c r="J6" s="6" t="s">
        <v>85</v>
      </c>
      <c r="K6" s="1">
        <v>82084270000</v>
      </c>
      <c r="M6" s="10"/>
    </row>
    <row r="7" spans="1:13" x14ac:dyDescent="0.35">
      <c r="A7" s="1">
        <v>2022</v>
      </c>
      <c r="B7" s="2" t="s">
        <v>17</v>
      </c>
      <c r="C7" s="1">
        <v>30715701339</v>
      </c>
      <c r="D7" s="2" t="s">
        <v>37</v>
      </c>
      <c r="E7" s="2" t="s">
        <v>58</v>
      </c>
      <c r="F7" s="2" t="s">
        <v>109</v>
      </c>
      <c r="G7" s="9">
        <v>9958400</v>
      </c>
      <c r="H7" s="6" t="s">
        <v>78</v>
      </c>
      <c r="I7" s="1">
        <v>14</v>
      </c>
      <c r="J7" s="6" t="s">
        <v>78</v>
      </c>
      <c r="K7" s="1">
        <v>14014010000</v>
      </c>
      <c r="M7" s="10"/>
    </row>
    <row r="8" spans="1:13" x14ac:dyDescent="0.35">
      <c r="A8" s="1">
        <v>2022</v>
      </c>
      <c r="B8" s="2" t="s">
        <v>18</v>
      </c>
      <c r="C8" s="1">
        <v>30716350998</v>
      </c>
      <c r="D8" s="2" t="s">
        <v>38</v>
      </c>
      <c r="E8" s="2" t="s">
        <v>59</v>
      </c>
      <c r="F8" s="2" t="s">
        <v>107</v>
      </c>
      <c r="G8" s="9">
        <v>11213850.84</v>
      </c>
      <c r="H8" s="6" t="s">
        <v>78</v>
      </c>
      <c r="I8" s="1">
        <v>14</v>
      </c>
      <c r="J8" s="6" t="s">
        <v>86</v>
      </c>
      <c r="K8" s="1">
        <v>14133180000</v>
      </c>
      <c r="M8" s="10"/>
    </row>
    <row r="9" spans="1:13" x14ac:dyDescent="0.35">
      <c r="A9" s="1">
        <v>2022</v>
      </c>
      <c r="B9" s="2" t="s">
        <v>11</v>
      </c>
      <c r="C9" s="1">
        <v>30716424681</v>
      </c>
      <c r="D9" s="2" t="s">
        <v>39</v>
      </c>
      <c r="E9" s="2" t="s">
        <v>60</v>
      </c>
      <c r="F9" s="2" t="s">
        <v>109</v>
      </c>
      <c r="G9" s="9">
        <v>10000000</v>
      </c>
      <c r="H9" s="6" t="s">
        <v>80</v>
      </c>
      <c r="I9" s="1">
        <v>6</v>
      </c>
      <c r="J9" s="6" t="s">
        <v>87</v>
      </c>
      <c r="K9" s="1">
        <v>6441030001</v>
      </c>
      <c r="M9" s="10"/>
    </row>
    <row r="10" spans="1:13" x14ac:dyDescent="0.35">
      <c r="A10" s="1">
        <v>2022</v>
      </c>
      <c r="B10" s="2" t="s">
        <v>19</v>
      </c>
      <c r="C10" s="1">
        <v>30715264249</v>
      </c>
      <c r="D10" s="2" t="s">
        <v>40</v>
      </c>
      <c r="E10" s="2" t="s">
        <v>61</v>
      </c>
      <c r="F10" s="2" t="s">
        <v>110</v>
      </c>
      <c r="G10" s="9">
        <v>18899000</v>
      </c>
      <c r="H10" s="6" t="s">
        <v>75</v>
      </c>
      <c r="I10" s="1">
        <v>62</v>
      </c>
      <c r="J10" s="2" t="s">
        <v>105</v>
      </c>
      <c r="K10" s="1">
        <v>62021060000</v>
      </c>
      <c r="M10" s="10"/>
    </row>
    <row r="11" spans="1:13" x14ac:dyDescent="0.35">
      <c r="A11" s="1">
        <v>2022</v>
      </c>
      <c r="B11" s="2" t="s">
        <v>20</v>
      </c>
      <c r="C11" s="1">
        <v>30589673804</v>
      </c>
      <c r="D11" s="2" t="s">
        <v>41</v>
      </c>
      <c r="E11" s="2" t="s">
        <v>62</v>
      </c>
      <c r="F11" s="2" t="s">
        <v>111</v>
      </c>
      <c r="G11" s="9">
        <v>24841750</v>
      </c>
      <c r="H11" s="6" t="s">
        <v>80</v>
      </c>
      <c r="I11" s="1">
        <v>6</v>
      </c>
      <c r="J11" s="6" t="s">
        <v>88</v>
      </c>
      <c r="K11" s="1">
        <v>6270010002</v>
      </c>
      <c r="M11" s="10"/>
    </row>
    <row r="12" spans="1:13" x14ac:dyDescent="0.35">
      <c r="A12" s="1">
        <v>2022</v>
      </c>
      <c r="B12" s="2" t="s">
        <v>21</v>
      </c>
      <c r="C12" s="1">
        <v>30716508575</v>
      </c>
      <c r="D12" s="2" t="s">
        <v>42</v>
      </c>
      <c r="E12" s="2" t="s">
        <v>63</v>
      </c>
      <c r="F12" s="2" t="s">
        <v>108</v>
      </c>
      <c r="G12" s="9">
        <v>24991078.800000001</v>
      </c>
      <c r="H12" s="6" t="s">
        <v>76</v>
      </c>
      <c r="I12" s="1">
        <v>30</v>
      </c>
      <c r="J12" s="6" t="s">
        <v>89</v>
      </c>
      <c r="K12" s="1">
        <v>30084160000</v>
      </c>
      <c r="M12" s="10"/>
    </row>
    <row r="13" spans="1:13" x14ac:dyDescent="0.35">
      <c r="A13" s="1">
        <v>2022</v>
      </c>
      <c r="B13" s="2" t="s">
        <v>22</v>
      </c>
      <c r="C13" s="1">
        <v>30713339802</v>
      </c>
      <c r="D13" s="2" t="s">
        <v>43</v>
      </c>
      <c r="E13" s="2" t="s">
        <v>64</v>
      </c>
      <c r="F13" s="2" t="s">
        <v>109</v>
      </c>
      <c r="G13" s="9">
        <v>9845933.7599999998</v>
      </c>
      <c r="H13" s="6" t="s">
        <v>81</v>
      </c>
      <c r="I13" s="1">
        <v>2</v>
      </c>
      <c r="J13" s="6" t="s">
        <v>81</v>
      </c>
      <c r="K13" s="1">
        <v>2098010001</v>
      </c>
      <c r="M13" s="10"/>
    </row>
    <row r="14" spans="1:13" x14ac:dyDescent="0.35">
      <c r="A14" s="1">
        <v>2022</v>
      </c>
      <c r="B14" s="2" t="s">
        <v>23</v>
      </c>
      <c r="C14" s="1">
        <v>30601951394</v>
      </c>
      <c r="D14" s="2" t="s">
        <v>44</v>
      </c>
      <c r="E14" s="2" t="s">
        <v>65</v>
      </c>
      <c r="F14" s="2" t="s">
        <v>109</v>
      </c>
      <c r="G14" s="9">
        <v>5105500</v>
      </c>
      <c r="H14" s="6" t="s">
        <v>81</v>
      </c>
      <c r="I14" s="1">
        <v>2</v>
      </c>
      <c r="J14" s="6" t="s">
        <v>81</v>
      </c>
      <c r="K14" s="1">
        <v>2007010005</v>
      </c>
      <c r="M14" s="10"/>
    </row>
    <row r="15" spans="1:13" x14ac:dyDescent="0.35">
      <c r="A15" s="1">
        <v>2022</v>
      </c>
      <c r="B15" s="2" t="s">
        <v>24</v>
      </c>
      <c r="C15" s="1">
        <v>30716617366</v>
      </c>
      <c r="D15" s="2" t="s">
        <v>45</v>
      </c>
      <c r="E15" s="2" t="s">
        <v>66</v>
      </c>
      <c r="F15" s="2" t="s">
        <v>108</v>
      </c>
      <c r="G15" s="9">
        <v>24450606.800000001</v>
      </c>
      <c r="H15" s="6" t="s">
        <v>78</v>
      </c>
      <c r="I15" s="1">
        <v>14</v>
      </c>
      <c r="J15" s="6" t="s">
        <v>86</v>
      </c>
      <c r="K15" s="1">
        <v>14133180000</v>
      </c>
      <c r="M15" s="10"/>
    </row>
    <row r="16" spans="1:13" x14ac:dyDescent="0.35">
      <c r="A16" s="1">
        <v>2022</v>
      </c>
      <c r="B16" s="2" t="s">
        <v>25</v>
      </c>
      <c r="C16" s="1">
        <v>30717003051</v>
      </c>
      <c r="D16" s="2" t="s">
        <v>46</v>
      </c>
      <c r="E16" s="2" t="s">
        <v>67</v>
      </c>
      <c r="F16" s="2" t="s">
        <v>108</v>
      </c>
      <c r="G16" s="9">
        <v>15963777.98</v>
      </c>
      <c r="H16" s="6" t="s">
        <v>80</v>
      </c>
      <c r="I16" s="1">
        <v>6</v>
      </c>
      <c r="J16" s="6" t="s">
        <v>90</v>
      </c>
      <c r="K16" s="1">
        <v>6410010001</v>
      </c>
      <c r="M16" s="10"/>
    </row>
    <row r="17" spans="1:13" x14ac:dyDescent="0.35">
      <c r="A17" s="1">
        <v>2022</v>
      </c>
      <c r="B17" s="2" t="s">
        <v>26</v>
      </c>
      <c r="C17" s="1">
        <v>30711174628</v>
      </c>
      <c r="D17" s="2" t="s">
        <v>47</v>
      </c>
      <c r="E17" s="2" t="s">
        <v>68</v>
      </c>
      <c r="F17" s="2" t="s">
        <v>110</v>
      </c>
      <c r="G17" s="9">
        <v>24920000</v>
      </c>
      <c r="H17" s="6" t="s">
        <v>78</v>
      </c>
      <c r="I17" s="1">
        <v>14</v>
      </c>
      <c r="J17" s="6" t="s">
        <v>106</v>
      </c>
      <c r="K17" s="1">
        <v>14098230000</v>
      </c>
      <c r="M17" s="10"/>
    </row>
    <row r="18" spans="1:13" x14ac:dyDescent="0.35">
      <c r="A18" s="1">
        <v>2022</v>
      </c>
      <c r="B18" s="2" t="s">
        <v>27</v>
      </c>
      <c r="C18" s="1">
        <v>30711647011</v>
      </c>
      <c r="D18" s="2" t="s">
        <v>48</v>
      </c>
      <c r="E18" s="2" t="s">
        <v>69</v>
      </c>
      <c r="F18" s="2" t="s">
        <v>111</v>
      </c>
      <c r="G18" s="9">
        <v>24950000</v>
      </c>
      <c r="H18" s="6" t="s">
        <v>80</v>
      </c>
      <c r="I18" s="1">
        <v>6</v>
      </c>
      <c r="J18" s="6" t="s">
        <v>91</v>
      </c>
      <c r="K18" s="1">
        <v>6861010001</v>
      </c>
      <c r="M18" s="10"/>
    </row>
    <row r="19" spans="1:13" x14ac:dyDescent="0.35">
      <c r="A19" s="1">
        <v>2022</v>
      </c>
      <c r="B19" s="2" t="s">
        <v>28</v>
      </c>
      <c r="C19" s="1">
        <v>30715242008</v>
      </c>
      <c r="D19" s="2" t="s">
        <v>49</v>
      </c>
      <c r="E19" s="2" t="s">
        <v>70</v>
      </c>
      <c r="F19" s="2" t="s">
        <v>112</v>
      </c>
      <c r="G19" s="9">
        <v>20052827.780000001</v>
      </c>
      <c r="H19" s="6" t="s">
        <v>77</v>
      </c>
      <c r="I19" s="1">
        <v>94</v>
      </c>
      <c r="J19" s="6" t="s">
        <v>92</v>
      </c>
      <c r="K19" s="1">
        <v>94008010000</v>
      </c>
      <c r="M19" s="10"/>
    </row>
    <row r="20" spans="1:13" x14ac:dyDescent="0.35">
      <c r="A20" s="1">
        <v>2022</v>
      </c>
      <c r="B20" s="2" t="s">
        <v>29</v>
      </c>
      <c r="C20" s="1">
        <v>30716535025</v>
      </c>
      <c r="D20" s="2" t="s">
        <v>50</v>
      </c>
      <c r="E20" s="2" t="s">
        <v>71</v>
      </c>
      <c r="F20" s="2" t="s">
        <v>109</v>
      </c>
      <c r="G20" s="9">
        <v>8777600</v>
      </c>
      <c r="H20" s="6" t="s">
        <v>81</v>
      </c>
      <c r="I20" s="1">
        <v>2</v>
      </c>
      <c r="J20" s="6" t="s">
        <v>81</v>
      </c>
      <c r="K20" s="1">
        <v>2098010001</v>
      </c>
      <c r="M20" s="10"/>
    </row>
    <row r="21" spans="1:13" x14ac:dyDescent="0.35">
      <c r="A21" s="1">
        <v>2022</v>
      </c>
      <c r="B21" s="2" t="s">
        <v>30</v>
      </c>
      <c r="C21" s="1">
        <v>30708700270</v>
      </c>
      <c r="D21" s="2" t="s">
        <v>51</v>
      </c>
      <c r="E21" s="2" t="s">
        <v>72</v>
      </c>
      <c r="F21" s="2" t="s">
        <v>109</v>
      </c>
      <c r="G21" s="9">
        <v>8805014</v>
      </c>
      <c r="H21" s="6" t="s">
        <v>78</v>
      </c>
      <c r="I21" s="1">
        <v>14</v>
      </c>
      <c r="J21" s="6" t="s">
        <v>93</v>
      </c>
      <c r="K21" s="1">
        <v>14133180000</v>
      </c>
      <c r="M21" s="10"/>
    </row>
    <row r="22" spans="1:13" x14ac:dyDescent="0.35">
      <c r="A22" s="1">
        <v>2022</v>
      </c>
      <c r="B22" s="2" t="s">
        <v>31</v>
      </c>
      <c r="C22" s="1">
        <v>30691852071</v>
      </c>
      <c r="D22" s="2" t="s">
        <v>52</v>
      </c>
      <c r="E22" s="2" t="s">
        <v>73</v>
      </c>
      <c r="F22" s="2" t="s">
        <v>109</v>
      </c>
      <c r="G22" s="9">
        <v>10000000</v>
      </c>
      <c r="H22" s="6" t="s">
        <v>79</v>
      </c>
      <c r="I22" s="1">
        <v>46</v>
      </c>
      <c r="J22" s="6" t="s">
        <v>79</v>
      </c>
      <c r="K22" s="1">
        <v>46014010000</v>
      </c>
      <c r="M22" s="10"/>
    </row>
    <row r="23" spans="1:13" x14ac:dyDescent="0.35">
      <c r="A23" s="1">
        <v>2022</v>
      </c>
      <c r="B23" s="2" t="s">
        <v>113</v>
      </c>
      <c r="C23" s="1">
        <v>30709500887</v>
      </c>
      <c r="D23" s="2" t="s">
        <v>114</v>
      </c>
      <c r="E23" s="2" t="s">
        <v>115</v>
      </c>
      <c r="F23" s="2" t="s">
        <v>116</v>
      </c>
      <c r="G23" s="9">
        <v>15225255.41</v>
      </c>
      <c r="H23" s="6" t="s">
        <v>80</v>
      </c>
      <c r="I23" s="1">
        <v>6</v>
      </c>
      <c r="J23" s="6" t="s">
        <v>249</v>
      </c>
      <c r="K23" s="1">
        <v>6805010001</v>
      </c>
      <c r="M23" s="10"/>
    </row>
    <row r="24" spans="1:13" x14ac:dyDescent="0.35">
      <c r="A24" s="1">
        <v>2022</v>
      </c>
      <c r="B24" s="2" t="s">
        <v>117</v>
      </c>
      <c r="C24" s="1">
        <v>30709420751</v>
      </c>
      <c r="D24" s="2" t="s">
        <v>118</v>
      </c>
      <c r="E24" s="2" t="s">
        <v>119</v>
      </c>
      <c r="F24" s="2" t="s">
        <v>120</v>
      </c>
      <c r="G24" s="9">
        <v>20802200</v>
      </c>
      <c r="H24" s="6" t="s">
        <v>77</v>
      </c>
      <c r="I24" s="1">
        <v>94</v>
      </c>
      <c r="J24" s="6" t="s">
        <v>264</v>
      </c>
      <c r="K24" s="1">
        <v>94008010000</v>
      </c>
      <c r="M24" s="10"/>
    </row>
    <row r="25" spans="1:13" x14ac:dyDescent="0.35">
      <c r="A25" s="1">
        <v>2022</v>
      </c>
      <c r="B25" s="2" t="s">
        <v>121</v>
      </c>
      <c r="C25" s="1">
        <v>30523061700</v>
      </c>
      <c r="D25" s="2" t="s">
        <v>122</v>
      </c>
      <c r="E25" s="2" t="s">
        <v>123</v>
      </c>
      <c r="F25" s="2" t="s">
        <v>124</v>
      </c>
      <c r="G25" s="9">
        <v>25000000</v>
      </c>
      <c r="H25" s="6" t="s">
        <v>81</v>
      </c>
      <c r="I25" s="1">
        <v>2</v>
      </c>
      <c r="J25" s="6" t="s">
        <v>81</v>
      </c>
      <c r="K25" s="1">
        <v>2098010001</v>
      </c>
      <c r="M25" s="10"/>
    </row>
    <row r="26" spans="1:13" x14ac:dyDescent="0.35">
      <c r="A26" s="1">
        <v>2022</v>
      </c>
      <c r="B26" s="2" t="s">
        <v>125</v>
      </c>
      <c r="C26" s="1">
        <v>33707058779</v>
      </c>
      <c r="D26" s="2" t="s">
        <v>126</v>
      </c>
      <c r="E26" s="2" t="s">
        <v>127</v>
      </c>
      <c r="F26" s="2" t="s">
        <v>128</v>
      </c>
      <c r="G26" s="9">
        <v>7982275</v>
      </c>
      <c r="H26" s="6" t="s">
        <v>81</v>
      </c>
      <c r="I26" s="1">
        <v>2</v>
      </c>
      <c r="J26" s="6" t="s">
        <v>81</v>
      </c>
      <c r="K26" s="1">
        <v>2098010001</v>
      </c>
      <c r="M26" s="10"/>
    </row>
    <row r="27" spans="1:13" x14ac:dyDescent="0.35">
      <c r="A27" s="1">
        <v>2022</v>
      </c>
      <c r="B27" s="2" t="s">
        <v>129</v>
      </c>
      <c r="C27" s="1">
        <v>30716713756</v>
      </c>
      <c r="D27" s="2" t="s">
        <v>130</v>
      </c>
      <c r="E27" s="2" t="s">
        <v>131</v>
      </c>
      <c r="F27" s="2" t="s">
        <v>132</v>
      </c>
      <c r="G27" s="9">
        <v>10000000</v>
      </c>
      <c r="H27" s="6" t="s">
        <v>80</v>
      </c>
      <c r="I27" s="1">
        <v>6</v>
      </c>
      <c r="J27" s="6" t="s">
        <v>260</v>
      </c>
      <c r="K27" s="1">
        <v>6224010000</v>
      </c>
      <c r="M27" s="10"/>
    </row>
    <row r="28" spans="1:13" x14ac:dyDescent="0.35">
      <c r="A28" s="1">
        <v>2022</v>
      </c>
      <c r="B28" s="2" t="s">
        <v>133</v>
      </c>
      <c r="C28" s="1">
        <v>30715026976</v>
      </c>
      <c r="D28" s="2" t="s">
        <v>134</v>
      </c>
      <c r="E28" s="2" t="s">
        <v>135</v>
      </c>
      <c r="F28" s="2" t="s">
        <v>132</v>
      </c>
      <c r="G28" s="9">
        <v>10000000</v>
      </c>
      <c r="H28" s="6" t="s">
        <v>74</v>
      </c>
      <c r="I28" s="1">
        <v>82</v>
      </c>
      <c r="J28" s="6" t="s">
        <v>85</v>
      </c>
      <c r="K28" s="1">
        <v>82084270000</v>
      </c>
      <c r="M28" s="10"/>
    </row>
    <row r="29" spans="1:13" x14ac:dyDescent="0.35">
      <c r="A29" s="1">
        <v>2022</v>
      </c>
      <c r="B29" s="2" t="s">
        <v>136</v>
      </c>
      <c r="C29" s="1">
        <v>30717343472</v>
      </c>
      <c r="D29" s="2" t="s">
        <v>137</v>
      </c>
      <c r="E29" s="2" t="s">
        <v>138</v>
      </c>
      <c r="F29" s="2" t="s">
        <v>132</v>
      </c>
      <c r="G29" s="9">
        <v>5682150</v>
      </c>
      <c r="H29" s="6" t="s">
        <v>78</v>
      </c>
      <c r="I29" s="1">
        <v>14</v>
      </c>
      <c r="J29" s="6" t="s">
        <v>106</v>
      </c>
      <c r="K29" s="1">
        <v>14098230000</v>
      </c>
      <c r="M29" s="10"/>
    </row>
    <row r="30" spans="1:13" x14ac:dyDescent="0.35">
      <c r="A30" s="1">
        <v>2022</v>
      </c>
      <c r="B30" s="2" t="s">
        <v>139</v>
      </c>
      <c r="C30" s="1">
        <v>30708547472</v>
      </c>
      <c r="D30" s="2" t="s">
        <v>140</v>
      </c>
      <c r="E30" s="2" t="s">
        <v>141</v>
      </c>
      <c r="F30" s="2" t="s">
        <v>132</v>
      </c>
      <c r="G30" s="9">
        <v>9882000</v>
      </c>
      <c r="H30" s="6" t="s">
        <v>80</v>
      </c>
      <c r="I30" s="1">
        <v>6</v>
      </c>
      <c r="J30" s="6" t="s">
        <v>250</v>
      </c>
      <c r="K30" s="1">
        <v>6357110001</v>
      </c>
      <c r="M30" s="10"/>
    </row>
    <row r="31" spans="1:13" x14ac:dyDescent="0.35">
      <c r="A31" s="1">
        <v>2022</v>
      </c>
      <c r="B31" s="2" t="s">
        <v>142</v>
      </c>
      <c r="C31" s="1">
        <v>30626759013</v>
      </c>
      <c r="D31" s="2" t="s">
        <v>143</v>
      </c>
      <c r="E31" s="2" t="s">
        <v>144</v>
      </c>
      <c r="F31" s="2" t="s">
        <v>120</v>
      </c>
      <c r="G31" s="9">
        <v>20526025</v>
      </c>
      <c r="H31" s="6" t="s">
        <v>74</v>
      </c>
      <c r="I31" s="1">
        <v>82</v>
      </c>
      <c r="J31" s="6" t="s">
        <v>251</v>
      </c>
      <c r="K31" s="1">
        <v>82021310000</v>
      </c>
      <c r="M31" s="10"/>
    </row>
    <row r="32" spans="1:13" x14ac:dyDescent="0.35">
      <c r="A32" s="1">
        <v>2022</v>
      </c>
      <c r="B32" s="2" t="s">
        <v>145</v>
      </c>
      <c r="C32" s="1">
        <v>30715538225</v>
      </c>
      <c r="D32" s="2" t="s">
        <v>146</v>
      </c>
      <c r="E32" s="2" t="s">
        <v>147</v>
      </c>
      <c r="F32" s="2" t="s">
        <v>120</v>
      </c>
      <c r="G32" s="9">
        <v>24999900</v>
      </c>
      <c r="H32" s="6" t="s">
        <v>81</v>
      </c>
      <c r="I32" s="1">
        <v>2</v>
      </c>
      <c r="J32" s="6" t="s">
        <v>81</v>
      </c>
      <c r="K32" s="1">
        <v>2098010001</v>
      </c>
      <c r="M32" s="10"/>
    </row>
    <row r="33" spans="1:13" x14ac:dyDescent="0.35">
      <c r="A33" s="1">
        <v>2022</v>
      </c>
      <c r="B33" s="2" t="s">
        <v>148</v>
      </c>
      <c r="C33" s="1">
        <v>30714902268</v>
      </c>
      <c r="D33" s="2" t="s">
        <v>149</v>
      </c>
      <c r="E33" s="2" t="s">
        <v>150</v>
      </c>
      <c r="F33" s="2" t="s">
        <v>128</v>
      </c>
      <c r="G33" s="9">
        <v>9991480</v>
      </c>
      <c r="H33" s="6" t="s">
        <v>74</v>
      </c>
      <c r="I33" s="1">
        <v>82</v>
      </c>
      <c r="J33" s="6" t="s">
        <v>251</v>
      </c>
      <c r="K33" s="1">
        <v>82021310000</v>
      </c>
      <c r="M33" s="10"/>
    </row>
    <row r="34" spans="1:13" x14ac:dyDescent="0.35">
      <c r="A34" s="1">
        <v>2022</v>
      </c>
      <c r="B34" s="2" t="s">
        <v>151</v>
      </c>
      <c r="C34" s="1">
        <v>30708879238</v>
      </c>
      <c r="D34" s="2" t="s">
        <v>152</v>
      </c>
      <c r="E34" s="2" t="s">
        <v>153</v>
      </c>
      <c r="F34" s="2" t="s">
        <v>116</v>
      </c>
      <c r="G34" s="9">
        <v>24911958</v>
      </c>
      <c r="H34" s="6" t="s">
        <v>74</v>
      </c>
      <c r="I34" s="1">
        <v>82</v>
      </c>
      <c r="J34" s="6" t="s">
        <v>85</v>
      </c>
      <c r="K34" s="1">
        <v>82084270000</v>
      </c>
      <c r="M34" s="10"/>
    </row>
    <row r="35" spans="1:13" x14ac:dyDescent="0.35">
      <c r="A35" s="1">
        <v>2022</v>
      </c>
      <c r="B35" s="2" t="s">
        <v>154</v>
      </c>
      <c r="C35" s="1">
        <v>30715218662</v>
      </c>
      <c r="D35" s="2" t="s">
        <v>155</v>
      </c>
      <c r="E35" s="2" t="s">
        <v>156</v>
      </c>
      <c r="F35" s="2" t="s">
        <v>157</v>
      </c>
      <c r="G35" s="9">
        <v>17999638</v>
      </c>
      <c r="H35" s="6" t="s">
        <v>80</v>
      </c>
      <c r="I35" s="1">
        <v>6</v>
      </c>
      <c r="J35" s="6" t="s">
        <v>252</v>
      </c>
      <c r="K35" s="1">
        <v>6364030004</v>
      </c>
      <c r="M35" s="10"/>
    </row>
    <row r="36" spans="1:13" x14ac:dyDescent="0.35">
      <c r="A36" s="1">
        <v>2022</v>
      </c>
      <c r="B36" s="2" t="s">
        <v>158</v>
      </c>
      <c r="C36" s="1">
        <v>30707618716</v>
      </c>
      <c r="D36" s="2" t="s">
        <v>159</v>
      </c>
      <c r="E36" s="2" t="s">
        <v>160</v>
      </c>
      <c r="F36" s="2" t="s">
        <v>120</v>
      </c>
      <c r="G36" s="9">
        <v>24700000</v>
      </c>
      <c r="H36" s="6" t="s">
        <v>74</v>
      </c>
      <c r="I36" s="1">
        <v>82</v>
      </c>
      <c r="J36" s="6" t="s">
        <v>74</v>
      </c>
      <c r="K36" s="1">
        <v>82063170000</v>
      </c>
      <c r="M36" s="10"/>
    </row>
    <row r="37" spans="1:13" x14ac:dyDescent="0.35">
      <c r="A37" s="1">
        <v>2022</v>
      </c>
      <c r="B37" s="2" t="s">
        <v>161</v>
      </c>
      <c r="C37" s="1">
        <v>30678353643</v>
      </c>
      <c r="D37" s="2" t="s">
        <v>162</v>
      </c>
      <c r="E37" s="2" t="s">
        <v>163</v>
      </c>
      <c r="F37" s="2" t="s">
        <v>120</v>
      </c>
      <c r="G37" s="9">
        <v>25000000</v>
      </c>
      <c r="H37" s="6" t="s">
        <v>74</v>
      </c>
      <c r="I37" s="1">
        <v>82</v>
      </c>
      <c r="J37" s="6" t="s">
        <v>74</v>
      </c>
      <c r="K37" s="1">
        <v>82063170000</v>
      </c>
      <c r="M37" s="10"/>
    </row>
    <row r="38" spans="1:13" x14ac:dyDescent="0.35">
      <c r="A38" s="1">
        <v>2022</v>
      </c>
      <c r="B38" s="2" t="s">
        <v>164</v>
      </c>
      <c r="C38" s="9">
        <f>30714645427*1</f>
        <v>30714645427</v>
      </c>
      <c r="D38" s="2" t="s">
        <v>165</v>
      </c>
      <c r="E38" s="2" t="s">
        <v>166</v>
      </c>
      <c r="F38" s="2" t="s">
        <v>167</v>
      </c>
      <c r="G38" s="9">
        <v>11366153.85</v>
      </c>
      <c r="H38" s="6" t="s">
        <v>80</v>
      </c>
      <c r="I38" s="1">
        <v>6</v>
      </c>
      <c r="J38" s="6" t="s">
        <v>91</v>
      </c>
      <c r="K38" s="1">
        <v>6861010002</v>
      </c>
      <c r="M38" s="10"/>
    </row>
    <row r="39" spans="1:13" x14ac:dyDescent="0.35">
      <c r="A39" s="1">
        <v>2022</v>
      </c>
      <c r="B39" s="2" t="s">
        <v>168</v>
      </c>
      <c r="C39" s="1">
        <v>30710836171</v>
      </c>
      <c r="D39" s="2" t="s">
        <v>169</v>
      </c>
      <c r="E39" s="2" t="s">
        <v>170</v>
      </c>
      <c r="F39" s="2" t="s">
        <v>120</v>
      </c>
      <c r="G39" s="9">
        <v>24048826</v>
      </c>
      <c r="H39" s="6" t="s">
        <v>74</v>
      </c>
      <c r="I39" s="1">
        <v>82</v>
      </c>
      <c r="J39" s="6" t="s">
        <v>257</v>
      </c>
      <c r="K39" s="1">
        <v>82049180000</v>
      </c>
      <c r="M39" s="10"/>
    </row>
    <row r="40" spans="1:13" x14ac:dyDescent="0.35">
      <c r="A40" s="1">
        <v>2022</v>
      </c>
      <c r="B40" s="2" t="s">
        <v>171</v>
      </c>
      <c r="C40" s="1">
        <v>30717207692</v>
      </c>
      <c r="D40" s="2" t="s">
        <v>172</v>
      </c>
      <c r="E40" s="2" t="s">
        <v>173</v>
      </c>
      <c r="F40" s="2" t="s">
        <v>132</v>
      </c>
      <c r="G40" s="9">
        <v>9908263.5999999996</v>
      </c>
      <c r="H40" s="6" t="s">
        <v>80</v>
      </c>
      <c r="I40" s="1">
        <v>6</v>
      </c>
      <c r="J40" s="6" t="s">
        <v>250</v>
      </c>
      <c r="K40" s="1">
        <v>6357110001</v>
      </c>
      <c r="M40" s="10"/>
    </row>
    <row r="41" spans="1:13" x14ac:dyDescent="0.35">
      <c r="A41" s="1">
        <v>2022</v>
      </c>
      <c r="B41" s="2" t="s">
        <v>174</v>
      </c>
      <c r="C41" s="1">
        <v>30711935254</v>
      </c>
      <c r="D41" s="2" t="s">
        <v>175</v>
      </c>
      <c r="E41" s="2" t="s">
        <v>176</v>
      </c>
      <c r="F41" s="2" t="s">
        <v>132</v>
      </c>
      <c r="G41" s="9">
        <v>9983486</v>
      </c>
      <c r="H41" s="6" t="s">
        <v>81</v>
      </c>
      <c r="I41" s="1">
        <v>2</v>
      </c>
      <c r="J41" s="6" t="s">
        <v>81</v>
      </c>
      <c r="K41" s="1">
        <v>2098010001</v>
      </c>
      <c r="M41" s="10"/>
    </row>
    <row r="42" spans="1:13" x14ac:dyDescent="0.35">
      <c r="A42" s="1">
        <v>2022</v>
      </c>
      <c r="B42" s="2" t="s">
        <v>177</v>
      </c>
      <c r="C42" s="1">
        <v>30709906239</v>
      </c>
      <c r="D42" s="2" t="s">
        <v>178</v>
      </c>
      <c r="E42" s="2" t="s">
        <v>179</v>
      </c>
      <c r="F42" s="2" t="s">
        <v>120</v>
      </c>
      <c r="G42" s="9">
        <v>14866150</v>
      </c>
      <c r="H42" s="6" t="s">
        <v>78</v>
      </c>
      <c r="I42" s="1">
        <v>14</v>
      </c>
      <c r="J42" s="6" t="s">
        <v>78</v>
      </c>
      <c r="K42" s="1">
        <v>14014010000</v>
      </c>
      <c r="M42" s="10"/>
    </row>
    <row r="43" spans="1:13" x14ac:dyDescent="0.35">
      <c r="A43" s="1">
        <v>2022</v>
      </c>
      <c r="B43" s="2" t="s">
        <v>180</v>
      </c>
      <c r="C43" s="1">
        <v>30714489638</v>
      </c>
      <c r="D43" s="2" t="s">
        <v>181</v>
      </c>
      <c r="E43" s="2" t="s">
        <v>182</v>
      </c>
      <c r="F43" s="2" t="s">
        <v>167</v>
      </c>
      <c r="G43" s="9">
        <v>25000000</v>
      </c>
      <c r="H43" s="6" t="s">
        <v>74</v>
      </c>
      <c r="I43" s="1">
        <v>82</v>
      </c>
      <c r="J43" s="6" t="s">
        <v>256</v>
      </c>
      <c r="K43" s="1">
        <v>82119130000</v>
      </c>
      <c r="M43" s="10"/>
    </row>
    <row r="44" spans="1:13" x14ac:dyDescent="0.35">
      <c r="A44" s="1">
        <v>2022</v>
      </c>
      <c r="B44" s="2" t="s">
        <v>183</v>
      </c>
      <c r="C44" s="1">
        <v>30715453610</v>
      </c>
      <c r="D44" s="2" t="s">
        <v>184</v>
      </c>
      <c r="E44" s="2" t="s">
        <v>185</v>
      </c>
      <c r="F44" s="2" t="s">
        <v>167</v>
      </c>
      <c r="G44" s="9">
        <v>13704838.699999999</v>
      </c>
      <c r="H44" s="6" t="s">
        <v>81</v>
      </c>
      <c r="I44" s="1">
        <v>2</v>
      </c>
      <c r="J44" s="6" t="s">
        <v>81</v>
      </c>
      <c r="K44" s="1">
        <v>2098010001</v>
      </c>
      <c r="M44" s="10"/>
    </row>
    <row r="45" spans="1:13" x14ac:dyDescent="0.35">
      <c r="A45" s="1">
        <v>2022</v>
      </c>
      <c r="B45" s="2" t="s">
        <v>186</v>
      </c>
      <c r="C45" s="1">
        <v>30716658704</v>
      </c>
      <c r="D45" s="2" t="s">
        <v>187</v>
      </c>
      <c r="E45" s="2" t="s">
        <v>188</v>
      </c>
      <c r="F45" s="2" t="s">
        <v>116</v>
      </c>
      <c r="G45" s="9">
        <v>23161536.690000001</v>
      </c>
      <c r="H45" s="6" t="s">
        <v>74</v>
      </c>
      <c r="I45" s="1">
        <v>82</v>
      </c>
      <c r="J45" s="6" t="s">
        <v>262</v>
      </c>
      <c r="K45" s="1">
        <v>82056030000</v>
      </c>
      <c r="M45" s="10"/>
    </row>
    <row r="46" spans="1:13" x14ac:dyDescent="0.35">
      <c r="A46" s="1">
        <v>2022</v>
      </c>
      <c r="B46" s="2" t="s">
        <v>189</v>
      </c>
      <c r="C46" s="1">
        <v>30663103942</v>
      </c>
      <c r="D46" s="2" t="s">
        <v>190</v>
      </c>
      <c r="E46" s="2" t="s">
        <v>191</v>
      </c>
      <c r="F46" s="2" t="s">
        <v>132</v>
      </c>
      <c r="G46" s="9">
        <v>10000000</v>
      </c>
      <c r="H46" s="6" t="s">
        <v>81</v>
      </c>
      <c r="I46" s="1">
        <v>2</v>
      </c>
      <c r="J46" s="6" t="s">
        <v>81</v>
      </c>
      <c r="K46" s="1">
        <v>2098010001</v>
      </c>
      <c r="M46" s="10"/>
    </row>
    <row r="47" spans="1:13" x14ac:dyDescent="0.35">
      <c r="A47" s="1">
        <v>2022</v>
      </c>
      <c r="B47" s="2" t="s">
        <v>192</v>
      </c>
      <c r="C47" s="1">
        <v>30715781391</v>
      </c>
      <c r="D47" s="2" t="s">
        <v>193</v>
      </c>
      <c r="E47" s="2" t="s">
        <v>194</v>
      </c>
      <c r="F47" s="2" t="s">
        <v>167</v>
      </c>
      <c r="G47" s="9">
        <v>20655374.870000001</v>
      </c>
      <c r="H47" s="6" t="s">
        <v>80</v>
      </c>
      <c r="I47" s="1">
        <v>6</v>
      </c>
      <c r="J47" s="6" t="s">
        <v>263</v>
      </c>
      <c r="K47" s="1">
        <v>6371010001</v>
      </c>
      <c r="M47" s="10"/>
    </row>
    <row r="48" spans="1:13" x14ac:dyDescent="0.35">
      <c r="A48" s="1">
        <v>2022</v>
      </c>
      <c r="B48" s="2" t="s">
        <v>195</v>
      </c>
      <c r="C48" s="1">
        <v>30716895935</v>
      </c>
      <c r="D48" s="2" t="s">
        <v>196</v>
      </c>
      <c r="E48" s="2" t="s">
        <v>197</v>
      </c>
      <c r="F48" s="2" t="s">
        <v>128</v>
      </c>
      <c r="G48" s="9">
        <v>10000000</v>
      </c>
      <c r="H48" s="6" t="s">
        <v>81</v>
      </c>
      <c r="I48" s="1">
        <v>2</v>
      </c>
      <c r="J48" s="6" t="s">
        <v>81</v>
      </c>
      <c r="K48" s="1">
        <v>2098010001</v>
      </c>
      <c r="M48" s="10"/>
    </row>
    <row r="49" spans="1:13" x14ac:dyDescent="0.35">
      <c r="A49" s="1">
        <v>2022</v>
      </c>
      <c r="B49" s="2" t="s">
        <v>198</v>
      </c>
      <c r="C49" s="1">
        <v>30715546287</v>
      </c>
      <c r="D49" s="2" t="s">
        <v>199</v>
      </c>
      <c r="E49" s="2" t="s">
        <v>200</v>
      </c>
      <c r="F49" s="2" t="s">
        <v>167</v>
      </c>
      <c r="G49" s="9">
        <v>24620000</v>
      </c>
      <c r="H49" s="6" t="s">
        <v>247</v>
      </c>
      <c r="I49" s="1">
        <v>90</v>
      </c>
      <c r="J49" s="6" t="s">
        <v>261</v>
      </c>
      <c r="K49" s="1">
        <v>90105020000</v>
      </c>
      <c r="M49" s="10"/>
    </row>
    <row r="50" spans="1:13" x14ac:dyDescent="0.35">
      <c r="A50" s="1">
        <v>2022</v>
      </c>
      <c r="B50" s="2" t="s">
        <v>201</v>
      </c>
      <c r="C50" s="1">
        <v>30708676973</v>
      </c>
      <c r="D50" s="2" t="s">
        <v>202</v>
      </c>
      <c r="E50" s="2" t="s">
        <v>203</v>
      </c>
      <c r="F50" s="2" t="s">
        <v>120</v>
      </c>
      <c r="G50" s="9">
        <v>24670778</v>
      </c>
      <c r="H50" s="6" t="s">
        <v>81</v>
      </c>
      <c r="I50" s="1">
        <v>2</v>
      </c>
      <c r="J50" s="6" t="s">
        <v>81</v>
      </c>
      <c r="K50" s="1">
        <v>2098010001</v>
      </c>
      <c r="M50" s="10"/>
    </row>
    <row r="51" spans="1:13" x14ac:dyDescent="0.35">
      <c r="A51" s="1">
        <v>2022</v>
      </c>
      <c r="B51" s="2" t="s">
        <v>204</v>
      </c>
      <c r="C51" s="1">
        <v>30690011499</v>
      </c>
      <c r="D51" s="2" t="s">
        <v>205</v>
      </c>
      <c r="E51" s="2" t="s">
        <v>206</v>
      </c>
      <c r="F51" s="2" t="s">
        <v>207</v>
      </c>
      <c r="G51" s="9">
        <v>17469909.449999999</v>
      </c>
      <c r="H51" s="6" t="s">
        <v>80</v>
      </c>
      <c r="I51" s="1">
        <v>6</v>
      </c>
      <c r="J51" s="6" t="s">
        <v>250</v>
      </c>
      <c r="K51" s="1">
        <v>6357110001</v>
      </c>
      <c r="M51" s="10"/>
    </row>
    <row r="52" spans="1:13" x14ac:dyDescent="0.35">
      <c r="A52" s="1">
        <v>2022</v>
      </c>
      <c r="B52" s="2" t="s">
        <v>208</v>
      </c>
      <c r="C52" s="1">
        <v>30544640212</v>
      </c>
      <c r="D52" s="2" t="s">
        <v>209</v>
      </c>
      <c r="E52" s="2" t="s">
        <v>210</v>
      </c>
      <c r="F52" s="2" t="s">
        <v>167</v>
      </c>
      <c r="G52" s="9">
        <v>25000000</v>
      </c>
      <c r="H52" s="6" t="s">
        <v>80</v>
      </c>
      <c r="I52" s="1">
        <v>6</v>
      </c>
      <c r="J52" s="6" t="s">
        <v>258</v>
      </c>
      <c r="K52" s="1">
        <v>6515010001</v>
      </c>
      <c r="M52" s="10"/>
    </row>
    <row r="53" spans="1:13" x14ac:dyDescent="0.35">
      <c r="A53" s="1">
        <v>2022</v>
      </c>
      <c r="B53" s="2" t="s">
        <v>211</v>
      </c>
      <c r="C53" s="1">
        <v>30709896527</v>
      </c>
      <c r="D53" s="2" t="s">
        <v>212</v>
      </c>
      <c r="E53" s="2" t="s">
        <v>213</v>
      </c>
      <c r="F53" s="2" t="s">
        <v>167</v>
      </c>
      <c r="G53" s="9">
        <v>25000000</v>
      </c>
      <c r="H53" s="6" t="s">
        <v>80</v>
      </c>
      <c r="I53" s="1">
        <v>6</v>
      </c>
      <c r="J53" s="6" t="s">
        <v>253</v>
      </c>
      <c r="K53" s="1">
        <v>6371010001</v>
      </c>
      <c r="M53" s="10"/>
    </row>
    <row r="54" spans="1:13" x14ac:dyDescent="0.35">
      <c r="A54" s="1">
        <v>2022</v>
      </c>
      <c r="B54" s="2" t="s">
        <v>214</v>
      </c>
      <c r="C54" s="1">
        <v>33717110949</v>
      </c>
      <c r="D54" s="2" t="s">
        <v>215</v>
      </c>
      <c r="E54" s="2" t="s">
        <v>216</v>
      </c>
      <c r="F54" s="2" t="s">
        <v>167</v>
      </c>
      <c r="G54" s="9">
        <v>24999550</v>
      </c>
      <c r="H54" s="6" t="s">
        <v>80</v>
      </c>
      <c r="I54" s="1">
        <v>6</v>
      </c>
      <c r="J54" s="6" t="s">
        <v>253</v>
      </c>
      <c r="K54" s="1">
        <v>6371010001</v>
      </c>
      <c r="M54" s="10"/>
    </row>
    <row r="55" spans="1:13" x14ac:dyDescent="0.35">
      <c r="A55" s="1">
        <v>2022</v>
      </c>
      <c r="B55" s="2" t="s">
        <v>217</v>
      </c>
      <c r="C55" s="1">
        <v>30581372759</v>
      </c>
      <c r="D55" s="2" t="s">
        <v>218</v>
      </c>
      <c r="E55" s="2" t="s">
        <v>219</v>
      </c>
      <c r="F55" s="2" t="s">
        <v>116</v>
      </c>
      <c r="G55" s="9">
        <v>24275906.23</v>
      </c>
      <c r="H55" s="6" t="s">
        <v>80</v>
      </c>
      <c r="I55" s="1">
        <v>6</v>
      </c>
      <c r="J55" s="6" t="s">
        <v>259</v>
      </c>
      <c r="K55" s="1">
        <v>6049020000</v>
      </c>
      <c r="M55" s="10"/>
    </row>
    <row r="56" spans="1:13" x14ac:dyDescent="0.35">
      <c r="A56" s="1">
        <v>2022</v>
      </c>
      <c r="B56" s="2" t="s">
        <v>220</v>
      </c>
      <c r="C56" s="1">
        <v>30714839833</v>
      </c>
      <c r="D56" s="2" t="s">
        <v>221</v>
      </c>
      <c r="E56" s="2" t="s">
        <v>222</v>
      </c>
      <c r="F56" s="2" t="s">
        <v>120</v>
      </c>
      <c r="G56" s="9">
        <v>23060100</v>
      </c>
      <c r="H56" s="6" t="s">
        <v>74</v>
      </c>
      <c r="I56" s="1">
        <v>82</v>
      </c>
      <c r="J56" s="6" t="s">
        <v>85</v>
      </c>
      <c r="K56" s="1">
        <v>82084270000</v>
      </c>
      <c r="M56" s="10"/>
    </row>
    <row r="57" spans="1:13" x14ac:dyDescent="0.35">
      <c r="A57" s="1">
        <v>2022</v>
      </c>
      <c r="B57" s="2" t="s">
        <v>223</v>
      </c>
      <c r="C57" s="1">
        <v>30711964149</v>
      </c>
      <c r="D57" s="2" t="s">
        <v>224</v>
      </c>
      <c r="E57" s="2" t="s">
        <v>225</v>
      </c>
      <c r="F57" s="2" t="s">
        <v>167</v>
      </c>
      <c r="G57" s="9">
        <v>25000000</v>
      </c>
      <c r="H57" s="6" t="s">
        <v>80</v>
      </c>
      <c r="I57" s="1">
        <v>6</v>
      </c>
      <c r="J57" s="6" t="s">
        <v>254</v>
      </c>
      <c r="K57" s="1">
        <v>6560010001</v>
      </c>
      <c r="M57" s="10"/>
    </row>
    <row r="58" spans="1:13" s="15" customFormat="1" x14ac:dyDescent="0.35">
      <c r="A58" s="11">
        <v>2022</v>
      </c>
      <c r="B58" s="12" t="s">
        <v>226</v>
      </c>
      <c r="C58" s="11">
        <v>30712396535</v>
      </c>
      <c r="D58" s="12" t="s">
        <v>227</v>
      </c>
      <c r="E58" s="12" t="s">
        <v>228</v>
      </c>
      <c r="F58" s="12" t="s">
        <v>120</v>
      </c>
      <c r="G58" s="13">
        <v>14651746.039999999</v>
      </c>
      <c r="H58" s="14" t="s">
        <v>248</v>
      </c>
      <c r="I58" s="11">
        <v>50</v>
      </c>
      <c r="J58" s="14" t="s">
        <v>248</v>
      </c>
      <c r="K58" s="11">
        <v>50007010010</v>
      </c>
      <c r="M58" s="16"/>
    </row>
    <row r="59" spans="1:13" x14ac:dyDescent="0.35">
      <c r="A59" s="1">
        <v>2022</v>
      </c>
      <c r="B59" s="2" t="s">
        <v>229</v>
      </c>
      <c r="C59" s="1">
        <v>30717606414</v>
      </c>
      <c r="D59" s="2" t="s">
        <v>230</v>
      </c>
      <c r="E59" s="2" t="s">
        <v>231</v>
      </c>
      <c r="F59" s="2" t="s">
        <v>120</v>
      </c>
      <c r="G59" s="9">
        <v>19959617.75</v>
      </c>
      <c r="H59" s="6" t="s">
        <v>78</v>
      </c>
      <c r="I59" s="1">
        <v>14</v>
      </c>
      <c r="J59" s="6" t="s">
        <v>78</v>
      </c>
      <c r="K59" s="1">
        <v>14014010000</v>
      </c>
      <c r="M59" s="10"/>
    </row>
    <row r="60" spans="1:13" x14ac:dyDescent="0.35">
      <c r="A60" s="1">
        <v>2022</v>
      </c>
      <c r="B60" s="2" t="s">
        <v>232</v>
      </c>
      <c r="C60" s="1">
        <v>33717603449</v>
      </c>
      <c r="D60" s="2" t="s">
        <v>233</v>
      </c>
      <c r="E60" s="2" t="s">
        <v>234</v>
      </c>
      <c r="F60" s="2" t="s">
        <v>120</v>
      </c>
      <c r="G60" s="9">
        <v>24996982</v>
      </c>
      <c r="H60" s="6" t="s">
        <v>78</v>
      </c>
      <c r="I60" s="1">
        <v>14</v>
      </c>
      <c r="J60" s="6" t="s">
        <v>255</v>
      </c>
      <c r="K60" s="1">
        <v>14014010000</v>
      </c>
      <c r="M60" s="10"/>
    </row>
    <row r="61" spans="1:13" x14ac:dyDescent="0.35">
      <c r="A61" s="1">
        <v>2022</v>
      </c>
      <c r="B61" s="2" t="s">
        <v>235</v>
      </c>
      <c r="C61" s="1">
        <v>30715609289</v>
      </c>
      <c r="D61" s="2" t="s">
        <v>236</v>
      </c>
      <c r="E61" s="2" t="s">
        <v>237</v>
      </c>
      <c r="F61" s="2" t="s">
        <v>120</v>
      </c>
      <c r="G61" s="9">
        <v>20724736.84</v>
      </c>
      <c r="H61" s="6" t="s">
        <v>80</v>
      </c>
      <c r="I61" s="1">
        <v>6</v>
      </c>
      <c r="J61" s="6" t="s">
        <v>253</v>
      </c>
      <c r="K61" s="1">
        <v>6371010001</v>
      </c>
      <c r="M61" s="10"/>
    </row>
    <row r="62" spans="1:13" x14ac:dyDescent="0.35">
      <c r="A62" s="1">
        <v>2022</v>
      </c>
      <c r="B62" s="2" t="s">
        <v>238</v>
      </c>
      <c r="C62" s="1">
        <v>30712497285</v>
      </c>
      <c r="D62" s="2" t="s">
        <v>239</v>
      </c>
      <c r="E62" s="2" t="s">
        <v>240</v>
      </c>
      <c r="F62" s="2" t="s">
        <v>120</v>
      </c>
      <c r="G62" s="9">
        <v>25000000</v>
      </c>
      <c r="H62" s="6" t="s">
        <v>74</v>
      </c>
      <c r="I62" s="1">
        <v>82</v>
      </c>
      <c r="J62" s="6" t="s">
        <v>256</v>
      </c>
      <c r="K62" s="1">
        <v>82119130000</v>
      </c>
      <c r="M62" s="10"/>
    </row>
    <row r="63" spans="1:13" x14ac:dyDescent="0.35">
      <c r="A63" s="1">
        <v>2022</v>
      </c>
      <c r="B63" s="2" t="s">
        <v>241</v>
      </c>
      <c r="C63" s="1">
        <v>30714264350</v>
      </c>
      <c r="D63" s="2" t="s">
        <v>242</v>
      </c>
      <c r="E63" s="2" t="s">
        <v>243</v>
      </c>
      <c r="F63" s="2" t="s">
        <v>120</v>
      </c>
      <c r="G63" s="9">
        <v>25000000</v>
      </c>
      <c r="H63" s="6" t="s">
        <v>81</v>
      </c>
      <c r="I63" s="1">
        <v>2</v>
      </c>
      <c r="J63" s="6" t="s">
        <v>81</v>
      </c>
      <c r="K63" s="1">
        <v>2098010001</v>
      </c>
      <c r="M63" s="10"/>
    </row>
    <row r="64" spans="1:13" x14ac:dyDescent="0.35">
      <c r="A64" s="1">
        <v>2022</v>
      </c>
      <c r="B64" s="2" t="s">
        <v>244</v>
      </c>
      <c r="C64" s="1">
        <v>30648951589</v>
      </c>
      <c r="D64" s="2" t="s">
        <v>245</v>
      </c>
      <c r="E64" s="2" t="s">
        <v>246</v>
      </c>
      <c r="F64" s="2" t="s">
        <v>132</v>
      </c>
      <c r="G64" s="9">
        <v>9994000</v>
      </c>
      <c r="H64" s="6" t="s">
        <v>248</v>
      </c>
      <c r="I64" s="1">
        <v>50</v>
      </c>
      <c r="J64" s="6" t="s">
        <v>248</v>
      </c>
      <c r="K64" s="1">
        <v>50007010010</v>
      </c>
      <c r="M64" s="10"/>
    </row>
  </sheetData>
  <autoFilter ref="A1:L64" xr:uid="{F747CC3F-9226-45C7-891E-C7BD3C70E306}"/>
  <dataValidations count="1">
    <dataValidation type="list" allowBlank="1" sqref="F23:F64" xr:uid="{F51C1350-096B-498C-8411-2EB557D3019A}">
      <formula1>"SOFTWARE Y SERVICIOS INFORMÁTICOS Y DIGITALES,PRODUCCIÓN Y POSTPRODUCCIÓN AUDIOVISUAL,BIOTECNOLOGÍA; BIOECONOMÍA; BIOLOGÍA; BIOQUÍMICA; MICROBIOLOGÍA; BIOINFORMÁTICA; BIOLOGÍA MOLECULAR; NEUROTECNOLOGÍA E INGENIERÍA GENÉTICA; GEOINGENIERÍA Y SUS ENSAYOS Y"&amp;" ANÁLISIS,SERVICIOS GEOLÓGICOS Y DE PROSPECCIÓN Y SERVICIOS RELACIONADOS CON LA ELECTRÓNICA Y COMUNICACIONES,SERVICIOS PROFESIONALES DE EXPORTACIÓN,NANOTECNOLOGÍA Y NANOCIENCIA,INDUSTRIA SATELITAL Y AEROESPACIAL; TECNOLOGÍAS ESPACIALES,INGENIERÍA PARA LA "&amp;"INDUSTRIA NUCLEAR,FABRICACIÓN; PUESTA A PUNTO; MANTENIMIENTO E INTRODUCCIÓN DE BIENES Y SERVICIOS,SERVICIOS DE INVESTIGACIÓN Y DESARROLLO"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30207-7FBD-4B50-AB5B-94E73164AF50}">
  <dimension ref="A1:B11"/>
  <sheetViews>
    <sheetView workbookViewId="0"/>
  </sheetViews>
  <sheetFormatPr baseColWidth="10" defaultRowHeight="14.5" x14ac:dyDescent="0.35"/>
  <cols>
    <col min="1" max="1" width="29.54296875" bestFit="1" customWidth="1"/>
    <col min="2" max="2" width="63.7265625" bestFit="1" customWidth="1"/>
  </cols>
  <sheetData>
    <row r="1" spans="1:2" x14ac:dyDescent="0.35">
      <c r="A1" s="6" t="s">
        <v>0</v>
      </c>
      <c r="B1" s="6" t="s">
        <v>94</v>
      </c>
    </row>
    <row r="2" spans="1:2" x14ac:dyDescent="0.35">
      <c r="A2" s="6" t="s">
        <v>1</v>
      </c>
      <c r="B2" s="6" t="s">
        <v>95</v>
      </c>
    </row>
    <row r="3" spans="1:2" x14ac:dyDescent="0.35">
      <c r="A3" s="6" t="s">
        <v>2</v>
      </c>
      <c r="B3" s="6" t="s">
        <v>96</v>
      </c>
    </row>
    <row r="4" spans="1:2" x14ac:dyDescent="0.35">
      <c r="A4" s="6" t="s">
        <v>3</v>
      </c>
      <c r="B4" s="6" t="s">
        <v>97</v>
      </c>
    </row>
    <row r="5" spans="1:2" x14ac:dyDescent="0.35">
      <c r="A5" s="6" t="s">
        <v>4</v>
      </c>
      <c r="B5" s="6" t="s">
        <v>98</v>
      </c>
    </row>
    <row r="6" spans="1:2" x14ac:dyDescent="0.35">
      <c r="A6" s="6" t="s">
        <v>5</v>
      </c>
      <c r="B6" s="6" t="s">
        <v>99</v>
      </c>
    </row>
    <row r="7" spans="1:2" x14ac:dyDescent="0.35">
      <c r="A7" s="7" t="s">
        <v>6</v>
      </c>
      <c r="B7" s="6" t="s">
        <v>100</v>
      </c>
    </row>
    <row r="8" spans="1:2" x14ac:dyDescent="0.35">
      <c r="A8" s="6" t="s">
        <v>7</v>
      </c>
      <c r="B8" s="6" t="s">
        <v>101</v>
      </c>
    </row>
    <row r="9" spans="1:2" x14ac:dyDescent="0.35">
      <c r="A9" s="7" t="s">
        <v>8</v>
      </c>
      <c r="B9" s="6" t="s">
        <v>102</v>
      </c>
    </row>
    <row r="10" spans="1:2" x14ac:dyDescent="0.35">
      <c r="A10" s="6" t="s">
        <v>9</v>
      </c>
      <c r="B10" s="6" t="s">
        <v>103</v>
      </c>
    </row>
    <row r="11" spans="1:2" x14ac:dyDescent="0.35">
      <c r="A11" s="8" t="s">
        <v>10</v>
      </c>
      <c r="B11" s="6"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dataset</vt:lpstr>
      <vt:lpstr>descripción de los campos</vt:lpstr>
    </vt:vector>
  </TitlesOfParts>
  <Company>Ministerio de Desarrollo Productivos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Boyadjian</dc:creator>
  <cp:lastModifiedBy>Usuario</cp:lastModifiedBy>
  <dcterms:created xsi:type="dcterms:W3CDTF">2023-01-06T14:09:22Z</dcterms:created>
  <dcterms:modified xsi:type="dcterms:W3CDTF">2024-01-29T19:50:07Z</dcterms:modified>
</cp:coreProperties>
</file>